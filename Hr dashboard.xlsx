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nan\Desktop\"/>
    </mc:Choice>
  </mc:AlternateContent>
  <xr:revisionPtr revIDLastSave="0" documentId="8_{DE7A80EE-C9B4-4FF3-B0B7-9F9BADA08DE6}" xr6:coauthVersionLast="47" xr6:coauthVersionMax="47" xr10:uidLastSave="{00000000-0000-0000-0000-000000000000}"/>
  <bookViews>
    <workbookView xWindow="-108" yWindow="-108" windowWidth="23256" windowHeight="12456" activeTab="1" xr2:uid="{3EC14F86-E825-46AE-8136-73797787C956}"/>
  </bookViews>
  <sheets>
    <sheet name="Sheet2" sheetId="2" r:id="rId1"/>
    <sheet name="Dashboard" sheetId="3" r:id="rId2"/>
    <sheet name="Sheet1" sheetId="1" r:id="rId3"/>
  </sheets>
  <definedNames>
    <definedName name="ExternalData_1" localSheetId="2" hidden="1">Sheet1!$A$1:$J$312</definedName>
    <definedName name="Slicer_DeptID">#N/A</definedName>
    <definedName name="Slicer_GenderID">#N/A</definedName>
    <definedName name="Slicer_MarriedID">#N/A</definedName>
    <definedName name="Slicer_PerfScoreI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Dataset_v14-selected-columns_62c24cf3-376d-4823-9210-8a3e44672ce5" name="HRDataset_v14-selected-columns" connection="Query - HRDataset_v14-selected-colum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8132F7-34B7-4D06-9CCD-B3CC654D5DA7}" keepAlive="1" name="ModelConnection_ExternalData_1" description="Data Model" type="5" refreshedVersion="8" minRefreshableVersion="5" saveData="1">
    <dbPr connection="Data Model Connection" command="HRDataset_v14-selected-columns" commandType="3"/>
    <extLst>
      <ext xmlns:x15="http://schemas.microsoft.com/office/spreadsheetml/2010/11/main" uri="{DE250136-89BD-433C-8126-D09CA5730AF9}">
        <x15:connection id="" model="1"/>
      </ext>
    </extLst>
  </connection>
  <connection id="2" xr16:uid="{5A35543E-AF0B-48A4-9E97-AE76BCD1D28D}" name="Query - HRDataset_v14-selected-columns" description="Connection to the 'HRDataset_v14-selected-columns' query in the workbook." type="100" refreshedVersion="8" minRefreshableVersion="5">
    <extLst>
      <ext xmlns:x15="http://schemas.microsoft.com/office/spreadsheetml/2010/11/main" uri="{DE250136-89BD-433C-8126-D09CA5730AF9}">
        <x15:connection id="075b5e9b-6c3f-4586-ba1b-e35140d94132"/>
      </ext>
    </extLst>
  </connection>
  <connection id="3" xr16:uid="{0BDAAE50-B0F9-4F40-A660-B216924B82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<sst xmlns="http://schemas.openxmlformats.org/spreadsheetml/2006/main" count="1895" uniqueCount="343">
  <si>
    <t>Employee_Name</t>
  </si>
  <si>
    <t>EmpID</t>
  </si>
  <si>
    <t>MarriedID</t>
  </si>
  <si>
    <t>MaritalStatusID</t>
  </si>
  <si>
    <t>GenderID</t>
  </si>
  <si>
    <t>EmpStatusID</t>
  </si>
  <si>
    <t>DeptID</t>
  </si>
  <si>
    <t>PerfScoreID</t>
  </si>
  <si>
    <t>FromDiversityJobFairID</t>
  </si>
  <si>
    <t>Salary</t>
  </si>
  <si>
    <t>Adinolfi, Wilson  K</t>
  </si>
  <si>
    <t>single</t>
  </si>
  <si>
    <t>Male</t>
  </si>
  <si>
    <t>Active</t>
  </si>
  <si>
    <t>No</t>
  </si>
  <si>
    <t>Alagbe,Trina</t>
  </si>
  <si>
    <t>married</t>
  </si>
  <si>
    <t>Female</t>
  </si>
  <si>
    <t>Anderson, Linda</t>
  </si>
  <si>
    <t>Athwal, Sam</t>
  </si>
  <si>
    <t>seperated</t>
  </si>
  <si>
    <t>Barone, Francesco  A</t>
  </si>
  <si>
    <t>Beatrice, Courtney</t>
  </si>
  <si>
    <t>Bernstein, Sean</t>
  </si>
  <si>
    <t>Biden, Lowan  M</t>
  </si>
  <si>
    <t>Divorced</t>
  </si>
  <si>
    <t>Billis, Helen</t>
  </si>
  <si>
    <t>Blount, Dianna</t>
  </si>
  <si>
    <t>Buccheri, Joseph</t>
  </si>
  <si>
    <t>Burke, Joelle</t>
  </si>
  <si>
    <t>Burkett, Benjamin</t>
  </si>
  <si>
    <t>Candie, Calvin</t>
  </si>
  <si>
    <t>Carey, Michael</t>
  </si>
  <si>
    <t>Chace, Beatrice</t>
  </si>
  <si>
    <t>Chan, Lin</t>
  </si>
  <si>
    <t>Chang, Donovan  E</t>
  </si>
  <si>
    <t>Cierpiszewski, Caroline</t>
  </si>
  <si>
    <t>Cockel, James</t>
  </si>
  <si>
    <t>Corleone, Michael</t>
  </si>
  <si>
    <t>Corleone, Vito</t>
  </si>
  <si>
    <t>Cornett, Lisa</t>
  </si>
  <si>
    <t>Darson, Jene'ya</t>
  </si>
  <si>
    <t>Davis, Daniel</t>
  </si>
  <si>
    <t>Desimone, Carl</t>
  </si>
  <si>
    <t>Dickinson, Geoff</t>
  </si>
  <si>
    <t>DiNocco, Lily</t>
  </si>
  <si>
    <t>Dobrin, Denisa  S</t>
  </si>
  <si>
    <t>Dunn, Amy</t>
  </si>
  <si>
    <t>Dunne, Amy</t>
  </si>
  <si>
    <t>Engdahl, Jean</t>
  </si>
  <si>
    <t>England, Rex</t>
  </si>
  <si>
    <t>Erilus, Angela</t>
  </si>
  <si>
    <t>Widowed</t>
  </si>
  <si>
    <t>Faller, Megan</t>
  </si>
  <si>
    <t>Fancett, Nicole</t>
  </si>
  <si>
    <t>Fernandes, Nilson</t>
  </si>
  <si>
    <t>Fidelia,  Libby</t>
  </si>
  <si>
    <t>Garcia, Raul</t>
  </si>
  <si>
    <t>Gaul, Barbara</t>
  </si>
  <si>
    <t>Gentry, Mildred</t>
  </si>
  <si>
    <t>Girifalco, Evelyn</t>
  </si>
  <si>
    <t>Gold, Shenice</t>
  </si>
  <si>
    <t>Gonzalez, Cayo</t>
  </si>
  <si>
    <t>Yes</t>
  </si>
  <si>
    <t>Gordon, David</t>
  </si>
  <si>
    <t>Gray, Elijiah</t>
  </si>
  <si>
    <t>Handschiegl, Joanne</t>
  </si>
  <si>
    <t>Hankard, Earnest</t>
  </si>
  <si>
    <t>Harrison, Kara</t>
  </si>
  <si>
    <t>Heitzman, Anthony</t>
  </si>
  <si>
    <t>Hudson, Jane</t>
  </si>
  <si>
    <t>Ivey, Rose</t>
  </si>
  <si>
    <t>Jackson, Maryellen</t>
  </si>
  <si>
    <t>Jacobi, Hannah</t>
  </si>
  <si>
    <t>Jeannite, Tayana</t>
  </si>
  <si>
    <t>Jhaveri, Sneha</t>
  </si>
  <si>
    <t>Johnston, Yen</t>
  </si>
  <si>
    <t>Keatts, Kramer</t>
  </si>
  <si>
    <t>Knapp, Bradley  J</t>
  </si>
  <si>
    <t>Kretschmer, John</t>
  </si>
  <si>
    <t>Langton, Enrico</t>
  </si>
  <si>
    <t>Lecter, Hannibal</t>
  </si>
  <si>
    <t>Liebig, Ketsia</t>
  </si>
  <si>
    <t>Lunquist, Lisa</t>
  </si>
  <si>
    <t>Mahoney, Lauren</t>
  </si>
  <si>
    <t>Mangal, Debbie</t>
  </si>
  <si>
    <t>Maurice, Shana</t>
  </si>
  <si>
    <t>Carthy, B'rigit</t>
  </si>
  <si>
    <t>Mckenna, Sandy</t>
  </si>
  <si>
    <t>Medeiros, Jennifer</t>
  </si>
  <si>
    <t>Miller, Brannon</t>
  </si>
  <si>
    <t>Monkfish, Erasumus</t>
  </si>
  <si>
    <t>Monterro, Luisa</t>
  </si>
  <si>
    <t>Motlagh,  Dawn</t>
  </si>
  <si>
    <t>Moumanil, Maliki</t>
  </si>
  <si>
    <t>Myers, Michael</t>
  </si>
  <si>
    <t>Ngodup, Shari</t>
  </si>
  <si>
    <t>Nguyen, Lei-Ming</t>
  </si>
  <si>
    <t>Nowlan, Kristie</t>
  </si>
  <si>
    <t>Osturnka, Adeel</t>
  </si>
  <si>
    <t>Owad, Clinton</t>
  </si>
  <si>
    <t>Petingill, Shana</t>
  </si>
  <si>
    <t>Pitt, Brad</t>
  </si>
  <si>
    <t>Punjabhi, Louis</t>
  </si>
  <si>
    <t>Rivera, Haley</t>
  </si>
  <si>
    <t>Robinson, Elias</t>
  </si>
  <si>
    <t>Rose, Ashley</t>
  </si>
  <si>
    <t>Sahoo, Adil</t>
  </si>
  <si>
    <t>Sander, Kamrin</t>
  </si>
  <si>
    <t>Shields, Seffi</t>
  </si>
  <si>
    <t>Smith, Joe</t>
  </si>
  <si>
    <t>Smith, Sade</t>
  </si>
  <si>
    <t>Sparks, Taylor</t>
  </si>
  <si>
    <t>Spirea, Kelley</t>
  </si>
  <si>
    <t>Stanford,Barbara  M</t>
  </si>
  <si>
    <t>Stoica, Rick</t>
  </si>
  <si>
    <t>Sullivan, Kissy</t>
  </si>
  <si>
    <t>Sullivan, Timothy</t>
  </si>
  <si>
    <t>Sutwell, Barbara</t>
  </si>
  <si>
    <t>Tippett, Jeanette</t>
  </si>
  <si>
    <t>Trang, Mei</t>
  </si>
  <si>
    <t>Vega, Vincent</t>
  </si>
  <si>
    <t>Walker, Roger</t>
  </si>
  <si>
    <t>Wolk, Hang  T</t>
  </si>
  <si>
    <t>Woodson, Jason</t>
  </si>
  <si>
    <t>Zima, Colleen</t>
  </si>
  <si>
    <t>Akinkuolie, Sarah</t>
  </si>
  <si>
    <t>Future Start</t>
  </si>
  <si>
    <t>Anderson, Carol</t>
  </si>
  <si>
    <t>Baczenski, Rachael</t>
  </si>
  <si>
    <t>Barbara, Thomas</t>
  </si>
  <si>
    <t>Barton, Nader</t>
  </si>
  <si>
    <t>Bondwell, Betsy</t>
  </si>
  <si>
    <t>Bozzi, Charles</t>
  </si>
  <si>
    <t>Brill, Donna</t>
  </si>
  <si>
    <t>Chivukula, Enola</t>
  </si>
  <si>
    <t>Cloninger, Jennifer</t>
  </si>
  <si>
    <t>Close, Phil</t>
  </si>
  <si>
    <t>DeGweck,  James</t>
  </si>
  <si>
    <t>Demita, Carla</t>
  </si>
  <si>
    <t>Eaton, Marianne</t>
  </si>
  <si>
    <t>Ferguson, Susan</t>
  </si>
  <si>
    <t>Fitzpatrick, Michael  J</t>
  </si>
  <si>
    <t>Foreman, Tanya</t>
  </si>
  <si>
    <t>Gerke, Melisa</t>
  </si>
  <si>
    <t>Gilles, Alex</t>
  </si>
  <si>
    <t>Gonzalez, Juan</t>
  </si>
  <si>
    <t>Gross, Paula</t>
  </si>
  <si>
    <t>Harrington, Christie</t>
  </si>
  <si>
    <t>Hendrickson, Trina</t>
  </si>
  <si>
    <t>Homberger, Adrienne  J</t>
  </si>
  <si>
    <t>Huynh, Ming</t>
  </si>
  <si>
    <t>Immediato, Walter</t>
  </si>
  <si>
    <t>Johnson, George</t>
  </si>
  <si>
    <t>Jung, Judy</t>
  </si>
  <si>
    <t>Kinsella, Kathleen</t>
  </si>
  <si>
    <t>Kirill, Alexandra</t>
  </si>
  <si>
    <t>Langford, Lindsey</t>
  </si>
  <si>
    <t>Latif, Mohammed</t>
  </si>
  <si>
    <t>Leach, Dallas</t>
  </si>
  <si>
    <t>Linares, Marilyn</t>
  </si>
  <si>
    <t>Lundy, Susan</t>
  </si>
  <si>
    <t>Lynch, Lindsay</t>
  </si>
  <si>
    <t>MacLennan, Samuel</t>
  </si>
  <si>
    <t>Mancuso, Karen</t>
  </si>
  <si>
    <t>Meads, Elizabeth</t>
  </si>
  <si>
    <t>Miller, Ned</t>
  </si>
  <si>
    <t>Ndzi, Colombui</t>
  </si>
  <si>
    <t>Ndzi, Horia</t>
  </si>
  <si>
    <t>Oliver, Brooke</t>
  </si>
  <si>
    <t>Panjwani, Nina</t>
  </si>
  <si>
    <t>Smith, Martin</t>
  </si>
  <si>
    <t>Pelletier, Ermine</t>
  </si>
  <si>
    <t>Perry, Shakira</t>
  </si>
  <si>
    <t>Peters, Lauren</t>
  </si>
  <si>
    <t>Peterson, Ebonee</t>
  </si>
  <si>
    <t>Pham, Hong</t>
  </si>
  <si>
    <t>Power, Morissa</t>
  </si>
  <si>
    <t>Purinton, Janine</t>
  </si>
  <si>
    <t>Rarrick, Quinn</t>
  </si>
  <si>
    <t>Rhoads, Thomas</t>
  </si>
  <si>
    <t>Roberson, May</t>
  </si>
  <si>
    <t>Robertson, Peter</t>
  </si>
  <si>
    <t>Robinson, Alain</t>
  </si>
  <si>
    <t>Rossetti, Bruno</t>
  </si>
  <si>
    <t>Sadki, Nore</t>
  </si>
  <si>
    <t>Sloan, Constance</t>
  </si>
  <si>
    <t>Squatrito, Kristen</t>
  </si>
  <si>
    <t>Tavares, Desiree</t>
  </si>
  <si>
    <t>Tejeda, Lenora</t>
  </si>
  <si>
    <t>Theamstern, Sophia</t>
  </si>
  <si>
    <t>Thibaud, Kenneth</t>
  </si>
  <si>
    <t>Trzeciak, Cybil</t>
  </si>
  <si>
    <t>Veera, Abdellah</t>
  </si>
  <si>
    <t>Wallace, Courtney  E</t>
  </si>
  <si>
    <t>Wallace, Theresa</t>
  </si>
  <si>
    <t>Whittier, Scott</t>
  </si>
  <si>
    <t>Wilber, Barry</t>
  </si>
  <si>
    <t>Wilkes, Annie</t>
  </si>
  <si>
    <t>Williams, Jacquelyn</t>
  </si>
  <si>
    <t>Winthrop, Jordan</t>
  </si>
  <si>
    <t>Ybarra, Catherine</t>
  </si>
  <si>
    <t>Bachiochi, Linda</t>
  </si>
  <si>
    <t>Resigned</t>
  </si>
  <si>
    <t>Bates, Norman</t>
  </si>
  <si>
    <t>Terminated</t>
  </si>
  <si>
    <t>Beak, Kimberly</t>
  </si>
  <si>
    <t>on leave</t>
  </si>
  <si>
    <t>Becker, Scott</t>
  </si>
  <si>
    <t>Bugali, Josephine</t>
  </si>
  <si>
    <t>Clukey, Elijian</t>
  </si>
  <si>
    <t>Cole, Spencer</t>
  </si>
  <si>
    <t>Crimmings,   Jean</t>
  </si>
  <si>
    <t>Estremera, Miguel</t>
  </si>
  <si>
    <t>Evensen, April</t>
  </si>
  <si>
    <t>Good, Susan</t>
  </si>
  <si>
    <t>Gosciminski, Phylicia</t>
  </si>
  <si>
    <t>Goyal, Roxana</t>
  </si>
  <si>
    <t>Hunts, Julissa</t>
  </si>
  <si>
    <t>Hutter, Rosalie</t>
  </si>
  <si>
    <t>Landa, Hans</t>
  </si>
  <si>
    <t>Linden, Mathew</t>
  </si>
  <si>
    <t>Lydon, Allison</t>
  </si>
  <si>
    <t>Manchester, Robyn</t>
  </si>
  <si>
    <t>Moran, Patrick</t>
  </si>
  <si>
    <t>Newman, Richard</t>
  </si>
  <si>
    <t>O'hare, Lynn</t>
  </si>
  <si>
    <t>Robinson, Cherly</t>
  </si>
  <si>
    <t>Saar-Beckles, Melinda</t>
  </si>
  <si>
    <t>Sewkumar, Nori</t>
  </si>
  <si>
    <t>Volk, Colleen</t>
  </si>
  <si>
    <t>Von Massenbach, Anna</t>
  </si>
  <si>
    <t>Ait Sidi, Karthikeyan</t>
  </si>
  <si>
    <t>Becker, Renee</t>
  </si>
  <si>
    <t>Booth, Frank</t>
  </si>
  <si>
    <t>Bunbury, Jessica</t>
  </si>
  <si>
    <t>Carr, Claudia  N</t>
  </si>
  <si>
    <t>Daniele, Ann</t>
  </si>
  <si>
    <t>Exantus, Susan</t>
  </si>
  <si>
    <t>Gill, Whitney</t>
  </si>
  <si>
    <t>Goble, Taisha</t>
  </si>
  <si>
    <t>Guilianno, Mike</t>
  </si>
  <si>
    <t>Johnson, Noelle</t>
  </si>
  <si>
    <t>Kampew, Donysha</t>
  </si>
  <si>
    <t>Lajiri,  Jyoti</t>
  </si>
  <si>
    <t>McKinzie, Jac</t>
  </si>
  <si>
    <t>Patronick, Lucas</t>
  </si>
  <si>
    <t>Pearson, Randall</t>
  </si>
  <si>
    <t>Quinn, Sean</t>
  </si>
  <si>
    <t>Roehrich, Bianca</t>
  </si>
  <si>
    <t>Ruiz, Ricardo</t>
  </si>
  <si>
    <t>Salter, Jason</t>
  </si>
  <si>
    <t>Smith, Leigh Ann</t>
  </si>
  <si>
    <t>Soze, Keyser</t>
  </si>
  <si>
    <t>Tredinnick, Neville</t>
  </si>
  <si>
    <t>True, Edward</t>
  </si>
  <si>
    <t>Voldemort, Lord</t>
  </si>
  <si>
    <t>Andreola, Colby</t>
  </si>
  <si>
    <t>Bacong, Alejandro</t>
  </si>
  <si>
    <t>Barbossa, Hector</t>
  </si>
  <si>
    <t>Boutwell, Bonalyn</t>
  </si>
  <si>
    <t>Brown, Mia</t>
  </si>
  <si>
    <t>Cady, Max</t>
  </si>
  <si>
    <t>Carabbio, Judith</t>
  </si>
  <si>
    <t>Carter, Michelle</t>
  </si>
  <si>
    <t>Champaigne, Brian</t>
  </si>
  <si>
    <t>Chigurh, Anton</t>
  </si>
  <si>
    <t>Clayton, Rick</t>
  </si>
  <si>
    <t>Costello, Frank</t>
  </si>
  <si>
    <t>Cross, Noah</t>
  </si>
  <si>
    <t>Daneault, Lynn</t>
  </si>
  <si>
    <t>Dee, Randy</t>
  </si>
  <si>
    <t>Del Bosque, Keyla</t>
  </si>
  <si>
    <t>Delarge, Alex</t>
  </si>
  <si>
    <t>DeVito, Tommy</t>
  </si>
  <si>
    <t>Dietrich, Jenna</t>
  </si>
  <si>
    <t>Dolan, Linda</t>
  </si>
  <si>
    <t>Dougall, Eric</t>
  </si>
  <si>
    <t>Driver, Elle</t>
  </si>
  <si>
    <t>Fett, Boba</t>
  </si>
  <si>
    <t>Forrest, Alex</t>
  </si>
  <si>
    <t>Foss, Jason</t>
  </si>
  <si>
    <t>Foster-Baker, Amy</t>
  </si>
  <si>
    <t>Fraval, Maruk</t>
  </si>
  <si>
    <t>Galia, Lisa</t>
  </si>
  <si>
    <t>Givens, Myriam</t>
  </si>
  <si>
    <t>Goeth, Amon</t>
  </si>
  <si>
    <t>Gonzalez, Maria</t>
  </si>
  <si>
    <t>Gruber, Hans</t>
  </si>
  <si>
    <t>Hitchcock, Alfred</t>
  </si>
  <si>
    <t>Horton, Jayne</t>
  </si>
  <si>
    <t>Houlihan, Debra</t>
  </si>
  <si>
    <t>Howard, Estelle</t>
  </si>
  <si>
    <t>Khemmich, Bartholemew</t>
  </si>
  <si>
    <t>King, Janet</t>
  </si>
  <si>
    <t>Kreuger, Freddy</t>
  </si>
  <si>
    <t>LaRotonda, William</t>
  </si>
  <si>
    <t>Le, Binh</t>
  </si>
  <si>
    <t>LeBlanc, Brandon  R</t>
  </si>
  <si>
    <t>Leruth, Giovanni</t>
  </si>
  <si>
    <t>Lindsay, Leonara</t>
  </si>
  <si>
    <t>Martin, Sandra</t>
  </si>
  <si>
    <t>Monroe, Peter</t>
  </si>
  <si>
    <t>Morway, Tanya</t>
  </si>
  <si>
    <t>Navathe, Kurt</t>
  </si>
  <si>
    <t>Nguyen, Dheepa</t>
  </si>
  <si>
    <t>Onque, Jasmine</t>
  </si>
  <si>
    <t>Ozark, Travis</t>
  </si>
  <si>
    <t>Petrowsky, Thelma</t>
  </si>
  <si>
    <t>Potts, Xana</t>
  </si>
  <si>
    <t>Rachael, Maggie</t>
  </si>
  <si>
    <t>Ren, Kylo</t>
  </si>
  <si>
    <t>Roby, Lori</t>
  </si>
  <si>
    <t>Roper, Katie</t>
  </si>
  <si>
    <t>Roup,Simon</t>
  </si>
  <si>
    <t>Saada, Adell</t>
  </si>
  <si>
    <t>Shepard, Anita</t>
  </si>
  <si>
    <t>Simard, Kramer</t>
  </si>
  <si>
    <t>Singh, Nan</t>
  </si>
  <si>
    <t>Smith, John</t>
  </si>
  <si>
    <t>Soto, Julia</t>
  </si>
  <si>
    <t>Stansfield, Norman</t>
  </si>
  <si>
    <t>Steans, Tyrone</t>
  </si>
  <si>
    <t>Strong, Caitrin</t>
  </si>
  <si>
    <t>Szabo, Andrew</t>
  </si>
  <si>
    <t>Tannen, Biff</t>
  </si>
  <si>
    <t>Terry, Sharlene</t>
  </si>
  <si>
    <t>Torrence, Jack</t>
  </si>
  <si>
    <t>Turpin, Jumil</t>
  </si>
  <si>
    <t>Valentin,Jackie</t>
  </si>
  <si>
    <t>Villanueva, Noah</t>
  </si>
  <si>
    <t>Wang, Charlie</t>
  </si>
  <si>
    <t>Warfield, Sarah</t>
  </si>
  <si>
    <t>Zamora, Jennifer</t>
  </si>
  <si>
    <t>Zhou, Julia</t>
  </si>
  <si>
    <t>Annual Salary</t>
  </si>
  <si>
    <t>Row Labels</t>
  </si>
  <si>
    <t>Grand Total</t>
  </si>
  <si>
    <t>Sum of PerfScoreID</t>
  </si>
  <si>
    <t>Sum of Salary</t>
  </si>
  <si>
    <t>Count of EmpID</t>
  </si>
  <si>
    <t>Average of Salary</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</si>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</sst>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32"/>
      <color theme="1"/>
      <name val="Times New Roman"/>
      <family val="1"/>
    </font>
  </fonts>
  <fills count="4">
    <fill>
      <patternFill patternType="none"/>
    </fill>
    <fill>
      <patternFill patternType="gray125"/>
    </fill>
    <fill>
      <patternFill patternType="solid">
        <fgColor theme="1"/>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applyAlignment="1"/>
    <xf numFmtId="0" fontId="1"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24" Type="http://schemas.openxmlformats.org/officeDocument/2006/relationships/customXml" Target="../customXml/item10.xml"/><Relationship Id="rId5" Type="http://schemas.microsoft.com/office/2007/relationships/slicerCache" Target="slicerCaches/slicerCache1.xml"/><Relationship Id="rId15" Type="http://schemas.openxmlformats.org/officeDocument/2006/relationships/customXml" Target="../customXml/item1.xml"/><Relationship Id="rId23" Type="http://schemas.openxmlformats.org/officeDocument/2006/relationships/customXml" Target="../customXml/item9.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400" b="1" i="0" u="none" strike="noStrike" cap="none" baseline="0">
                <a:latin typeface="Times New Roman" panose="02020603050405020304" pitchFamily="18" charset="0"/>
                <a:cs typeface="Times New Roman" panose="02020603050405020304" pitchFamily="18" charset="0"/>
              </a:rPr>
              <a:t>Salary by Department</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Sheet2!$A$4:$A$10</c:f>
              <c:strCache>
                <c:ptCount val="6"/>
                <c:pt idx="0">
                  <c:v>1</c:v>
                </c:pt>
                <c:pt idx="1">
                  <c:v>2</c:v>
                </c:pt>
                <c:pt idx="2">
                  <c:v>3</c:v>
                </c:pt>
                <c:pt idx="3">
                  <c:v>4</c:v>
                </c:pt>
                <c:pt idx="4">
                  <c:v>5</c:v>
                </c:pt>
                <c:pt idx="5">
                  <c:v>6</c:v>
                </c:pt>
              </c:strCache>
            </c:strRef>
          </c:cat>
          <c:val>
            <c:numRef>
              <c:f>Sheet2!$B$4:$B$10</c:f>
              <c:numCache>
                <c:formatCode>General</c:formatCode>
                <c:ptCount val="6"/>
                <c:pt idx="0">
                  <c:v>729490</c:v>
                </c:pt>
                <c:pt idx="1">
                  <c:v>250000</c:v>
                </c:pt>
                <c:pt idx="2">
                  <c:v>4853232</c:v>
                </c:pt>
                <c:pt idx="3">
                  <c:v>961521</c:v>
                </c:pt>
                <c:pt idx="4">
                  <c:v>12473300</c:v>
                </c:pt>
                <c:pt idx="5">
                  <c:v>2197890</c:v>
                </c:pt>
              </c:numCache>
            </c:numRef>
          </c:val>
          <c:extLst>
            <c:ext xmlns:c16="http://schemas.microsoft.com/office/drawing/2014/chart" uri="{C3380CC4-5D6E-409C-BE32-E72D297353CC}">
              <c16:uniqueId val="{00000000-867B-403E-9C0D-81FD7FDD5055}"/>
            </c:ext>
          </c:extLst>
        </c:ser>
        <c:dLbls>
          <c:dLblPos val="outEnd"/>
          <c:showLegendKey val="0"/>
          <c:showVal val="1"/>
          <c:showCatName val="0"/>
          <c:showSerName val="0"/>
          <c:showPercent val="0"/>
          <c:showBubbleSize val="0"/>
        </c:dLbls>
        <c:gapWidth val="100"/>
        <c:overlap val="-24"/>
        <c:axId val="486777055"/>
        <c:axId val="486769855"/>
      </c:barChart>
      <c:catAx>
        <c:axId val="48677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86769855"/>
        <c:crosses val="autoZero"/>
        <c:auto val="1"/>
        <c:lblAlgn val="ctr"/>
        <c:lblOffset val="100"/>
        <c:noMultiLvlLbl val="0"/>
      </c:catAx>
      <c:valAx>
        <c:axId val="486769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8677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33596">
          <a:srgbClr val="B8E0F4"/>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latin typeface="Times New Roman" panose="02020603050405020304" pitchFamily="18" charset="0"/>
                <a:cs typeface="Times New Roman" panose="02020603050405020304" pitchFamily="18" charset="0"/>
              </a:rPr>
              <a:t>Employee Count by Department</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Sheet2!$A$33:$A$39</c:f>
              <c:strCache>
                <c:ptCount val="6"/>
                <c:pt idx="0">
                  <c:v>1</c:v>
                </c:pt>
                <c:pt idx="1">
                  <c:v>2</c:v>
                </c:pt>
                <c:pt idx="2">
                  <c:v>3</c:v>
                </c:pt>
                <c:pt idx="3">
                  <c:v>4</c:v>
                </c:pt>
                <c:pt idx="4">
                  <c:v>5</c:v>
                </c:pt>
                <c:pt idx="5">
                  <c:v>6</c:v>
                </c:pt>
              </c:strCache>
            </c:strRef>
          </c:cat>
          <c:val>
            <c:numRef>
              <c:f>Sheet2!$B$33:$B$39</c:f>
              <c:numCache>
                <c:formatCode>General</c:formatCode>
                <c:ptCount val="6"/>
                <c:pt idx="0">
                  <c:v>10</c:v>
                </c:pt>
                <c:pt idx="1">
                  <c:v>1</c:v>
                </c:pt>
                <c:pt idx="2">
                  <c:v>50</c:v>
                </c:pt>
                <c:pt idx="3">
                  <c:v>10</c:v>
                </c:pt>
                <c:pt idx="4">
                  <c:v>208</c:v>
                </c:pt>
                <c:pt idx="5">
                  <c:v>32</c:v>
                </c:pt>
              </c:numCache>
            </c:numRef>
          </c:val>
          <c:smooth val="0"/>
          <c:extLst>
            <c:ext xmlns:c16="http://schemas.microsoft.com/office/drawing/2014/chart" uri="{C3380CC4-5D6E-409C-BE32-E72D297353CC}">
              <c16:uniqueId val="{00000000-4A6A-45C7-8D6C-229015D0A15F}"/>
            </c:ext>
          </c:extLst>
        </c:ser>
        <c:dLbls>
          <c:dLblPos val="t"/>
          <c:showLegendKey val="0"/>
          <c:showVal val="1"/>
          <c:showCatName val="0"/>
          <c:showSerName val="0"/>
          <c:showPercent val="0"/>
          <c:showBubbleSize val="0"/>
        </c:dLbls>
        <c:marker val="1"/>
        <c:smooth val="0"/>
        <c:axId val="486769375"/>
        <c:axId val="486776575"/>
      </c:lineChart>
      <c:catAx>
        <c:axId val="4867693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6776575"/>
        <c:crosses val="autoZero"/>
        <c:auto val="1"/>
        <c:lblAlgn val="ctr"/>
        <c:lblOffset val="100"/>
        <c:noMultiLvlLbl val="0"/>
      </c:catAx>
      <c:valAx>
        <c:axId val="4867765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676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latin typeface="Times New Roman" panose="02020603050405020304" pitchFamily="18" charset="0"/>
                <a:cs typeface="Times New Roman" panose="02020603050405020304" pitchFamily="18" charset="0"/>
              </a:rPr>
              <a:t>Gender Distribution</a:t>
            </a:r>
            <a:endParaRPr lang="en-US">
              <a:latin typeface="Times New Roman" panose="02020603050405020304" pitchFamily="18" charset="0"/>
              <a:cs typeface="Times New Roman" panose="02020603050405020304" pitchFamily="18" charset="0"/>
            </a:endParaRPr>
          </a:p>
        </c:rich>
      </c:tx>
      <c:layout>
        <c:manualLayout>
          <c:xMode val="edge"/>
          <c:yMode val="edge"/>
          <c:x val="0.28815966754155731"/>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Sheet2!$B$50</c:f>
              <c:strCache>
                <c:ptCount val="1"/>
                <c:pt idx="0">
                  <c:v>Total</c:v>
                </c:pt>
              </c:strCache>
            </c:strRef>
          </c:tx>
          <c:explosion val="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6A3-43DA-BEC9-BE6D89739D3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6A3-43DA-BEC9-BE6D89739D3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Sheet2!$A$51:$A$53</c:f>
              <c:strCache>
                <c:ptCount val="2"/>
                <c:pt idx="0">
                  <c:v>Female</c:v>
                </c:pt>
                <c:pt idx="1">
                  <c:v>Male</c:v>
                </c:pt>
              </c:strCache>
            </c:strRef>
          </c:cat>
          <c:val>
            <c:numRef>
              <c:f>Sheet2!$B$51:$B$53</c:f>
              <c:numCache>
                <c:formatCode>General</c:formatCode>
                <c:ptCount val="2"/>
                <c:pt idx="0">
                  <c:v>176</c:v>
                </c:pt>
                <c:pt idx="1">
                  <c:v>135</c:v>
                </c:pt>
              </c:numCache>
            </c:numRef>
          </c:val>
          <c:extLst>
            <c:ext xmlns:c16="http://schemas.microsoft.com/office/drawing/2014/chart" uri="{C3380CC4-5D6E-409C-BE32-E72D297353CC}">
              <c16:uniqueId val="{00000000-2889-48EA-88CC-D36C9086509F}"/>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33596">
          <a:srgbClr val="B8E0F4"/>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dashboard.xlsx]Sheet2!PivotTable5</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latin typeface="Times New Roman" panose="02020603050405020304" pitchFamily="18" charset="0"/>
                <a:cs typeface="Times New Roman" panose="02020603050405020304" pitchFamily="18" charset="0"/>
              </a:rPr>
              <a:t>Department vs Performance Score</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Sheet2!$B$68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Sheet2!$A$69:$A$75</c:f>
              <c:strCache>
                <c:ptCount val="6"/>
                <c:pt idx="0">
                  <c:v>1</c:v>
                </c:pt>
                <c:pt idx="1">
                  <c:v>2</c:v>
                </c:pt>
                <c:pt idx="2">
                  <c:v>3</c:v>
                </c:pt>
                <c:pt idx="3">
                  <c:v>4</c:v>
                </c:pt>
                <c:pt idx="4">
                  <c:v>5</c:v>
                </c:pt>
                <c:pt idx="5">
                  <c:v>6</c:v>
                </c:pt>
              </c:strCache>
            </c:strRef>
          </c:cat>
          <c:val>
            <c:numRef>
              <c:f>Sheet2!$B$69:$B$75</c:f>
              <c:numCache>
                <c:formatCode>General</c:formatCode>
                <c:ptCount val="6"/>
                <c:pt idx="0">
                  <c:v>30</c:v>
                </c:pt>
                <c:pt idx="1">
                  <c:v>3</c:v>
                </c:pt>
                <c:pt idx="2">
                  <c:v>153</c:v>
                </c:pt>
                <c:pt idx="3">
                  <c:v>31</c:v>
                </c:pt>
                <c:pt idx="4">
                  <c:v>620</c:v>
                </c:pt>
                <c:pt idx="5">
                  <c:v>89</c:v>
                </c:pt>
              </c:numCache>
            </c:numRef>
          </c:val>
          <c:extLst>
            <c:ext xmlns:c16="http://schemas.microsoft.com/office/drawing/2014/chart" uri="{C3380CC4-5D6E-409C-BE32-E72D297353CC}">
              <c16:uniqueId val="{00000000-4172-4857-A844-D02C399A360B}"/>
            </c:ext>
          </c:extLst>
        </c:ser>
        <c:dLbls>
          <c:showLegendKey val="0"/>
          <c:showVal val="0"/>
          <c:showCatName val="0"/>
          <c:showSerName val="0"/>
          <c:showPercent val="0"/>
          <c:showBubbleSize val="0"/>
        </c:dLbls>
        <c:gapWidth val="100"/>
        <c:axId val="795579679"/>
        <c:axId val="795580159"/>
      </c:barChart>
      <c:catAx>
        <c:axId val="79557967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5580159"/>
        <c:crosses val="autoZero"/>
        <c:auto val="1"/>
        <c:lblAlgn val="ctr"/>
        <c:lblOffset val="100"/>
        <c:noMultiLvlLbl val="0"/>
      </c:catAx>
      <c:valAx>
        <c:axId val="795580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5579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68949">
          <a:srgbClr val="7DC8EB"/>
        </a:gs>
        <a:gs pos="63899">
          <a:srgbClr val="85CBEC"/>
        </a:gs>
        <a:gs pos="53798">
          <a:srgbClr val="96D2EF"/>
        </a:gs>
        <a:gs pos="33596">
          <a:srgbClr val="B8E0F4"/>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dashboard.xlsx]Sheet2!PivotTable6</c:name>
    <c:fmtId val="1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Average Salary by Department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Sheet2!$B$91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Sheet2!$A$92:$A$98</c:f>
              <c:strCache>
                <c:ptCount val="6"/>
                <c:pt idx="0">
                  <c:v>1</c:v>
                </c:pt>
                <c:pt idx="1">
                  <c:v>2</c:v>
                </c:pt>
                <c:pt idx="2">
                  <c:v>3</c:v>
                </c:pt>
                <c:pt idx="3">
                  <c:v>4</c:v>
                </c:pt>
                <c:pt idx="4">
                  <c:v>5</c:v>
                </c:pt>
                <c:pt idx="5">
                  <c:v>6</c:v>
                </c:pt>
              </c:strCache>
            </c:strRef>
          </c:cat>
          <c:val>
            <c:numRef>
              <c:f>Sheet2!$B$92:$B$98</c:f>
              <c:numCache>
                <c:formatCode>General</c:formatCode>
                <c:ptCount val="6"/>
                <c:pt idx="0">
                  <c:v>72949</c:v>
                </c:pt>
                <c:pt idx="1">
                  <c:v>250000</c:v>
                </c:pt>
                <c:pt idx="2">
                  <c:v>97064.639999999999</c:v>
                </c:pt>
                <c:pt idx="3">
                  <c:v>96152.1</c:v>
                </c:pt>
                <c:pt idx="4">
                  <c:v>59967.788461538461</c:v>
                </c:pt>
                <c:pt idx="5">
                  <c:v>68684.0625</c:v>
                </c:pt>
              </c:numCache>
            </c:numRef>
          </c:val>
          <c:extLst>
            <c:ext xmlns:c16="http://schemas.microsoft.com/office/drawing/2014/chart" uri="{C3380CC4-5D6E-409C-BE32-E72D297353CC}">
              <c16:uniqueId val="{00000000-8E01-46CA-874B-516C8DF4F191}"/>
            </c:ext>
          </c:extLst>
        </c:ser>
        <c:dLbls>
          <c:showLegendKey val="0"/>
          <c:showVal val="0"/>
          <c:showCatName val="0"/>
          <c:showSerName val="0"/>
          <c:showPercent val="0"/>
          <c:showBubbleSize val="0"/>
        </c:dLbls>
        <c:gapWidth val="164"/>
        <c:overlap val="-22"/>
        <c:axId val="795585439"/>
        <c:axId val="795586399"/>
      </c:barChart>
      <c:catAx>
        <c:axId val="79558543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586399"/>
        <c:crosses val="autoZero"/>
        <c:auto val="1"/>
        <c:lblAlgn val="ctr"/>
        <c:lblOffset val="100"/>
        <c:noMultiLvlLbl val="0"/>
      </c:catAx>
      <c:valAx>
        <c:axId val="795586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58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dashboard.xlsx]Sheet2!PivotTable2</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400" b="1" i="0" u="none" strike="noStrike" cap="none" baseline="0">
                <a:latin typeface="Times New Roman" panose="02020603050405020304" pitchFamily="18" charset="0"/>
                <a:cs typeface="Times New Roman" panose="02020603050405020304" pitchFamily="18" charset="0"/>
              </a:rPr>
              <a:t>Salary by Department</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Sheet2!$A$4:$A$10</c:f>
              <c:strCache>
                <c:ptCount val="6"/>
                <c:pt idx="0">
                  <c:v>1</c:v>
                </c:pt>
                <c:pt idx="1">
                  <c:v>2</c:v>
                </c:pt>
                <c:pt idx="2">
                  <c:v>3</c:v>
                </c:pt>
                <c:pt idx="3">
                  <c:v>4</c:v>
                </c:pt>
                <c:pt idx="4">
                  <c:v>5</c:v>
                </c:pt>
                <c:pt idx="5">
                  <c:v>6</c:v>
                </c:pt>
              </c:strCache>
            </c:strRef>
          </c:cat>
          <c:val>
            <c:numRef>
              <c:f>Sheet2!$B$4:$B$10</c:f>
              <c:numCache>
                <c:formatCode>General</c:formatCode>
                <c:ptCount val="6"/>
                <c:pt idx="0">
                  <c:v>729490</c:v>
                </c:pt>
                <c:pt idx="1">
                  <c:v>250000</c:v>
                </c:pt>
                <c:pt idx="2">
                  <c:v>4853232</c:v>
                </c:pt>
                <c:pt idx="3">
                  <c:v>961521</c:v>
                </c:pt>
                <c:pt idx="4">
                  <c:v>12473300</c:v>
                </c:pt>
                <c:pt idx="5">
                  <c:v>2197890</c:v>
                </c:pt>
              </c:numCache>
            </c:numRef>
          </c:val>
          <c:extLst>
            <c:ext xmlns:c16="http://schemas.microsoft.com/office/drawing/2014/chart" uri="{C3380CC4-5D6E-409C-BE32-E72D297353CC}">
              <c16:uniqueId val="{00000000-205A-46C3-9942-58D0FAA6CE4C}"/>
            </c:ext>
          </c:extLst>
        </c:ser>
        <c:dLbls>
          <c:dLblPos val="outEnd"/>
          <c:showLegendKey val="0"/>
          <c:showVal val="1"/>
          <c:showCatName val="0"/>
          <c:showSerName val="0"/>
          <c:showPercent val="0"/>
          <c:showBubbleSize val="0"/>
        </c:dLbls>
        <c:gapWidth val="100"/>
        <c:overlap val="-24"/>
        <c:axId val="486777055"/>
        <c:axId val="486769855"/>
      </c:barChart>
      <c:catAx>
        <c:axId val="48677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86769855"/>
        <c:crosses val="autoZero"/>
        <c:auto val="1"/>
        <c:lblAlgn val="ctr"/>
        <c:lblOffset val="100"/>
        <c:noMultiLvlLbl val="0"/>
      </c:catAx>
      <c:valAx>
        <c:axId val="486769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8677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33596">
          <a:srgbClr val="B8E0F4"/>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dashboard.xlsx]Sheet2!PivotTable3</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latin typeface="Times New Roman" panose="02020603050405020304" pitchFamily="18" charset="0"/>
                <a:cs typeface="Times New Roman" panose="02020603050405020304" pitchFamily="18" charset="0"/>
              </a:rPr>
              <a:t>Employee Count by Department</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Sheet2!$A$33:$A$39</c:f>
              <c:strCache>
                <c:ptCount val="6"/>
                <c:pt idx="0">
                  <c:v>1</c:v>
                </c:pt>
                <c:pt idx="1">
                  <c:v>2</c:v>
                </c:pt>
                <c:pt idx="2">
                  <c:v>3</c:v>
                </c:pt>
                <c:pt idx="3">
                  <c:v>4</c:v>
                </c:pt>
                <c:pt idx="4">
                  <c:v>5</c:v>
                </c:pt>
                <c:pt idx="5">
                  <c:v>6</c:v>
                </c:pt>
              </c:strCache>
            </c:strRef>
          </c:cat>
          <c:val>
            <c:numRef>
              <c:f>Sheet2!$B$33:$B$39</c:f>
              <c:numCache>
                <c:formatCode>General</c:formatCode>
                <c:ptCount val="6"/>
                <c:pt idx="0">
                  <c:v>10</c:v>
                </c:pt>
                <c:pt idx="1">
                  <c:v>1</c:v>
                </c:pt>
                <c:pt idx="2">
                  <c:v>50</c:v>
                </c:pt>
                <c:pt idx="3">
                  <c:v>10</c:v>
                </c:pt>
                <c:pt idx="4">
                  <c:v>208</c:v>
                </c:pt>
                <c:pt idx="5">
                  <c:v>32</c:v>
                </c:pt>
              </c:numCache>
            </c:numRef>
          </c:val>
          <c:smooth val="0"/>
          <c:extLst>
            <c:ext xmlns:c16="http://schemas.microsoft.com/office/drawing/2014/chart" uri="{C3380CC4-5D6E-409C-BE32-E72D297353CC}">
              <c16:uniqueId val="{00000000-FC1A-4EBB-9B25-B18F04F9CA5D}"/>
            </c:ext>
          </c:extLst>
        </c:ser>
        <c:dLbls>
          <c:dLblPos val="t"/>
          <c:showLegendKey val="0"/>
          <c:showVal val="1"/>
          <c:showCatName val="0"/>
          <c:showSerName val="0"/>
          <c:showPercent val="0"/>
          <c:showBubbleSize val="0"/>
        </c:dLbls>
        <c:marker val="1"/>
        <c:smooth val="0"/>
        <c:axId val="486769375"/>
        <c:axId val="486776575"/>
      </c:lineChart>
      <c:catAx>
        <c:axId val="4867693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6776575"/>
        <c:crosses val="autoZero"/>
        <c:auto val="1"/>
        <c:lblAlgn val="ctr"/>
        <c:lblOffset val="100"/>
        <c:noMultiLvlLbl val="0"/>
      </c:catAx>
      <c:valAx>
        <c:axId val="4867765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676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dashboard.xlsx]Sheet2!PivotTable4</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latin typeface="Times New Roman" panose="02020603050405020304" pitchFamily="18" charset="0"/>
                <a:cs typeface="Times New Roman" panose="02020603050405020304" pitchFamily="18" charset="0"/>
              </a:rPr>
              <a:t>Gender Distribution</a:t>
            </a:r>
            <a:endParaRPr lang="en-US">
              <a:latin typeface="Times New Roman" panose="02020603050405020304" pitchFamily="18" charset="0"/>
              <a:cs typeface="Times New Roman" panose="02020603050405020304" pitchFamily="18" charset="0"/>
            </a:endParaRPr>
          </a:p>
        </c:rich>
      </c:tx>
      <c:layout>
        <c:manualLayout>
          <c:xMode val="edge"/>
          <c:yMode val="edge"/>
          <c:x val="0.28815966754155731"/>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Sheet2!$B$50</c:f>
              <c:strCache>
                <c:ptCount val="1"/>
                <c:pt idx="0">
                  <c:v>Total</c:v>
                </c:pt>
              </c:strCache>
            </c:strRef>
          </c:tx>
          <c:explosion val="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D64-4CB1-B75F-43369C3ED8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D64-4CB1-B75F-43369C3ED8E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Sheet2!$A$51:$A$53</c:f>
              <c:strCache>
                <c:ptCount val="2"/>
                <c:pt idx="0">
                  <c:v>Female</c:v>
                </c:pt>
                <c:pt idx="1">
                  <c:v>Male</c:v>
                </c:pt>
              </c:strCache>
            </c:strRef>
          </c:cat>
          <c:val>
            <c:numRef>
              <c:f>Sheet2!$B$51:$B$53</c:f>
              <c:numCache>
                <c:formatCode>General</c:formatCode>
                <c:ptCount val="2"/>
                <c:pt idx="0">
                  <c:v>176</c:v>
                </c:pt>
                <c:pt idx="1">
                  <c:v>135</c:v>
                </c:pt>
              </c:numCache>
            </c:numRef>
          </c:val>
          <c:extLst>
            <c:ext xmlns:c16="http://schemas.microsoft.com/office/drawing/2014/chart" uri="{C3380CC4-5D6E-409C-BE32-E72D297353CC}">
              <c16:uniqueId val="{00000004-5D64-4CB1-B75F-43369C3ED8EC}"/>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33596">
          <a:srgbClr val="B8E0F4"/>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dashboard.xlsx]Sheet2!PivotTable5</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latin typeface="Times New Roman" panose="02020603050405020304" pitchFamily="18" charset="0"/>
                <a:cs typeface="Times New Roman" panose="02020603050405020304" pitchFamily="18" charset="0"/>
              </a:rPr>
              <a:t>Department vs Performance Score</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Sheet2!$B$68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Sheet2!$A$69:$A$75</c:f>
              <c:strCache>
                <c:ptCount val="6"/>
                <c:pt idx="0">
                  <c:v>1</c:v>
                </c:pt>
                <c:pt idx="1">
                  <c:v>2</c:v>
                </c:pt>
                <c:pt idx="2">
                  <c:v>3</c:v>
                </c:pt>
                <c:pt idx="3">
                  <c:v>4</c:v>
                </c:pt>
                <c:pt idx="4">
                  <c:v>5</c:v>
                </c:pt>
                <c:pt idx="5">
                  <c:v>6</c:v>
                </c:pt>
              </c:strCache>
            </c:strRef>
          </c:cat>
          <c:val>
            <c:numRef>
              <c:f>Sheet2!$B$69:$B$75</c:f>
              <c:numCache>
                <c:formatCode>General</c:formatCode>
                <c:ptCount val="6"/>
                <c:pt idx="0">
                  <c:v>30</c:v>
                </c:pt>
                <c:pt idx="1">
                  <c:v>3</c:v>
                </c:pt>
                <c:pt idx="2">
                  <c:v>153</c:v>
                </c:pt>
                <c:pt idx="3">
                  <c:v>31</c:v>
                </c:pt>
                <c:pt idx="4">
                  <c:v>620</c:v>
                </c:pt>
                <c:pt idx="5">
                  <c:v>89</c:v>
                </c:pt>
              </c:numCache>
            </c:numRef>
          </c:val>
          <c:extLst>
            <c:ext xmlns:c16="http://schemas.microsoft.com/office/drawing/2014/chart" uri="{C3380CC4-5D6E-409C-BE32-E72D297353CC}">
              <c16:uniqueId val="{00000000-4D83-485F-BF28-61D038110806}"/>
            </c:ext>
          </c:extLst>
        </c:ser>
        <c:dLbls>
          <c:showLegendKey val="0"/>
          <c:showVal val="0"/>
          <c:showCatName val="0"/>
          <c:showSerName val="0"/>
          <c:showPercent val="0"/>
          <c:showBubbleSize val="0"/>
        </c:dLbls>
        <c:gapWidth val="100"/>
        <c:axId val="795579679"/>
        <c:axId val="795580159"/>
      </c:barChart>
      <c:catAx>
        <c:axId val="79557967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5580159"/>
        <c:crosses val="autoZero"/>
        <c:auto val="1"/>
        <c:lblAlgn val="ctr"/>
        <c:lblOffset val="100"/>
        <c:noMultiLvlLbl val="0"/>
      </c:catAx>
      <c:valAx>
        <c:axId val="795580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5579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68949">
          <a:srgbClr val="7DC8EB"/>
        </a:gs>
        <a:gs pos="63899">
          <a:srgbClr val="85CBEC"/>
        </a:gs>
        <a:gs pos="53798">
          <a:srgbClr val="96D2EF"/>
        </a:gs>
        <a:gs pos="33596">
          <a:srgbClr val="B8E0F4"/>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dashboard.xlsx]Sheet2!PivotTable6</c:name>
    <c:fmtId val="2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Average Salary by Department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Sheet2!$B$91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Sheet2!$A$92:$A$98</c:f>
              <c:strCache>
                <c:ptCount val="6"/>
                <c:pt idx="0">
                  <c:v>1</c:v>
                </c:pt>
                <c:pt idx="1">
                  <c:v>2</c:v>
                </c:pt>
                <c:pt idx="2">
                  <c:v>3</c:v>
                </c:pt>
                <c:pt idx="3">
                  <c:v>4</c:v>
                </c:pt>
                <c:pt idx="4">
                  <c:v>5</c:v>
                </c:pt>
                <c:pt idx="5">
                  <c:v>6</c:v>
                </c:pt>
              </c:strCache>
            </c:strRef>
          </c:cat>
          <c:val>
            <c:numRef>
              <c:f>Sheet2!$B$92:$B$98</c:f>
              <c:numCache>
                <c:formatCode>General</c:formatCode>
                <c:ptCount val="6"/>
                <c:pt idx="0">
                  <c:v>72949</c:v>
                </c:pt>
                <c:pt idx="1">
                  <c:v>250000</c:v>
                </c:pt>
                <c:pt idx="2">
                  <c:v>97064.639999999999</c:v>
                </c:pt>
                <c:pt idx="3">
                  <c:v>96152.1</c:v>
                </c:pt>
                <c:pt idx="4">
                  <c:v>59967.788461538461</c:v>
                </c:pt>
                <c:pt idx="5">
                  <c:v>68684.0625</c:v>
                </c:pt>
              </c:numCache>
            </c:numRef>
          </c:val>
          <c:extLst>
            <c:ext xmlns:c16="http://schemas.microsoft.com/office/drawing/2014/chart" uri="{C3380CC4-5D6E-409C-BE32-E72D297353CC}">
              <c16:uniqueId val="{00000000-DF61-4F86-A307-A6510790058F}"/>
            </c:ext>
          </c:extLst>
        </c:ser>
        <c:dLbls>
          <c:showLegendKey val="0"/>
          <c:showVal val="0"/>
          <c:showCatName val="0"/>
          <c:showSerName val="0"/>
          <c:showPercent val="0"/>
          <c:showBubbleSize val="0"/>
        </c:dLbls>
        <c:gapWidth val="164"/>
        <c:overlap val="-22"/>
        <c:axId val="795585439"/>
        <c:axId val="795586399"/>
      </c:barChart>
      <c:catAx>
        <c:axId val="79558543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586399"/>
        <c:crosses val="autoZero"/>
        <c:auto val="1"/>
        <c:lblAlgn val="ctr"/>
        <c:lblOffset val="100"/>
        <c:noMultiLvlLbl val="0"/>
      </c:catAx>
      <c:valAx>
        <c:axId val="795586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58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205740</xdr:colOff>
      <xdr:row>9</xdr:row>
      <xdr:rowOff>7620</xdr:rowOff>
    </xdr:from>
    <xdr:to>
      <xdr:col>16</xdr:col>
      <xdr:colOff>251460</xdr:colOff>
      <xdr:row>24</xdr:row>
      <xdr:rowOff>7620</xdr:rowOff>
    </xdr:to>
    <xdr:graphicFrame macro="">
      <xdr:nvGraphicFramePr>
        <xdr:cNvPr id="2" name="Chart 1">
          <a:extLst>
            <a:ext uri="{FF2B5EF4-FFF2-40B4-BE49-F238E27FC236}">
              <a16:creationId xmlns:a16="http://schemas.microsoft.com/office/drawing/2014/main" id="{1C9F43DD-2B41-5897-E207-E37DCB468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28</xdr:row>
      <xdr:rowOff>22860</xdr:rowOff>
    </xdr:from>
    <xdr:to>
      <xdr:col>15</xdr:col>
      <xdr:colOff>312420</xdr:colOff>
      <xdr:row>43</xdr:row>
      <xdr:rowOff>22860</xdr:rowOff>
    </xdr:to>
    <xdr:graphicFrame macro="">
      <xdr:nvGraphicFramePr>
        <xdr:cNvPr id="3" name="Chart 2">
          <a:extLst>
            <a:ext uri="{FF2B5EF4-FFF2-40B4-BE49-F238E27FC236}">
              <a16:creationId xmlns:a16="http://schemas.microsoft.com/office/drawing/2014/main" id="{0EDC04E9-8E9C-3205-9E8B-D8FBC948E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358140</xdr:colOff>
      <xdr:row>46</xdr:row>
      <xdr:rowOff>53340</xdr:rowOff>
    </xdr:from>
    <xdr:to>
      <xdr:col>16</xdr:col>
      <xdr:colOff>403860</xdr:colOff>
      <xdr:row>61</xdr:row>
      <xdr:rowOff>53340</xdr:rowOff>
    </xdr:to>
    <xdr:graphicFrame macro="">
      <xdr:nvGraphicFramePr>
        <xdr:cNvPr id="4" name="Chart 3">
          <a:extLst>
            <a:ext uri="{FF2B5EF4-FFF2-40B4-BE49-F238E27FC236}">
              <a16:creationId xmlns:a16="http://schemas.microsoft.com/office/drawing/2014/main" id="{03A267F6-0944-89DA-412B-3111A5C49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251460</xdr:colOff>
      <xdr:row>66</xdr:row>
      <xdr:rowOff>7620</xdr:rowOff>
    </xdr:from>
    <xdr:to>
      <xdr:col>14</xdr:col>
      <xdr:colOff>297180</xdr:colOff>
      <xdr:row>81</xdr:row>
      <xdr:rowOff>7620</xdr:rowOff>
    </xdr:to>
    <xdr:graphicFrame macro="">
      <xdr:nvGraphicFramePr>
        <xdr:cNvPr id="5" name="Chart 4">
          <a:extLst>
            <a:ext uri="{FF2B5EF4-FFF2-40B4-BE49-F238E27FC236}">
              <a16:creationId xmlns:a16="http://schemas.microsoft.com/office/drawing/2014/main" id="{CD8A3C30-965F-B60B-5C7E-923BCB634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381000</xdr:colOff>
      <xdr:row>84</xdr:row>
      <xdr:rowOff>7620</xdr:rowOff>
    </xdr:from>
    <xdr:to>
      <xdr:col>15</xdr:col>
      <xdr:colOff>15240</xdr:colOff>
      <xdr:row>99</xdr:row>
      <xdr:rowOff>7620</xdr:rowOff>
    </xdr:to>
    <xdr:graphicFrame macro="">
      <xdr:nvGraphicFramePr>
        <xdr:cNvPr id="6" name="Chart 5">
          <a:extLst>
            <a:ext uri="{FF2B5EF4-FFF2-40B4-BE49-F238E27FC236}">
              <a16:creationId xmlns:a16="http://schemas.microsoft.com/office/drawing/2014/main" id="{8A7F6D54-F756-DF6B-5061-7084C8686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4</xdr:row>
      <xdr:rowOff>30480</xdr:rowOff>
    </xdr:from>
    <xdr:to>
      <xdr:col>6</xdr:col>
      <xdr:colOff>525780</xdr:colOff>
      <xdr:row>18</xdr:row>
      <xdr:rowOff>137160</xdr:rowOff>
    </xdr:to>
    <xdr:graphicFrame macro="">
      <xdr:nvGraphicFramePr>
        <xdr:cNvPr id="2" name="Chart 1">
          <a:extLst>
            <a:ext uri="{FF2B5EF4-FFF2-40B4-BE49-F238E27FC236}">
              <a16:creationId xmlns:a16="http://schemas.microsoft.com/office/drawing/2014/main" id="{311237EC-4791-4271-B4F7-4F127A719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480060</xdr:colOff>
      <xdr:row>4</xdr:row>
      <xdr:rowOff>45720</xdr:rowOff>
    </xdr:from>
    <xdr:to>
      <xdr:col>15</xdr:col>
      <xdr:colOff>129540</xdr:colOff>
      <xdr:row>18</xdr:row>
      <xdr:rowOff>137160</xdr:rowOff>
    </xdr:to>
    <xdr:graphicFrame macro="">
      <xdr:nvGraphicFramePr>
        <xdr:cNvPr id="3" name="Chart 2">
          <a:extLst>
            <a:ext uri="{FF2B5EF4-FFF2-40B4-BE49-F238E27FC236}">
              <a16:creationId xmlns:a16="http://schemas.microsoft.com/office/drawing/2014/main" id="{1F3E51FD-3995-4D63-BA9F-3E567CD25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472440</xdr:colOff>
      <xdr:row>4</xdr:row>
      <xdr:rowOff>7620</xdr:rowOff>
    </xdr:from>
    <xdr:to>
      <xdr:col>22</xdr:col>
      <xdr:colOff>464820</xdr:colOff>
      <xdr:row>18</xdr:row>
      <xdr:rowOff>167640</xdr:rowOff>
    </xdr:to>
    <xdr:graphicFrame macro="">
      <xdr:nvGraphicFramePr>
        <xdr:cNvPr id="4" name="Chart 3">
          <a:extLst>
            <a:ext uri="{FF2B5EF4-FFF2-40B4-BE49-F238E27FC236}">
              <a16:creationId xmlns:a16="http://schemas.microsoft.com/office/drawing/2014/main" id="{0E103FE8-6638-4381-9CA0-EB22AB532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76200</xdr:colOff>
      <xdr:row>19</xdr:row>
      <xdr:rowOff>106680</xdr:rowOff>
    </xdr:from>
    <xdr:to>
      <xdr:col>8</xdr:col>
      <xdr:colOff>411480</xdr:colOff>
      <xdr:row>32</xdr:row>
      <xdr:rowOff>137160</xdr:rowOff>
    </xdr:to>
    <xdr:graphicFrame macro="">
      <xdr:nvGraphicFramePr>
        <xdr:cNvPr id="8" name="Chart 7">
          <a:extLst>
            <a:ext uri="{FF2B5EF4-FFF2-40B4-BE49-F238E27FC236}">
              <a16:creationId xmlns:a16="http://schemas.microsoft.com/office/drawing/2014/main" id="{30E67C39-72A8-4CB2-AC8F-E3DAAC013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472440</xdr:colOff>
      <xdr:row>19</xdr:row>
      <xdr:rowOff>152400</xdr:rowOff>
    </xdr:from>
    <xdr:to>
      <xdr:col>18</xdr:col>
      <xdr:colOff>281940</xdr:colOff>
      <xdr:row>32</xdr:row>
      <xdr:rowOff>129540</xdr:rowOff>
    </xdr:to>
    <xdr:graphicFrame macro="">
      <xdr:nvGraphicFramePr>
        <xdr:cNvPr id="9" name="Chart 8">
          <a:extLst>
            <a:ext uri="{FF2B5EF4-FFF2-40B4-BE49-F238E27FC236}">
              <a16:creationId xmlns:a16="http://schemas.microsoft.com/office/drawing/2014/main" id="{FC71EA77-892F-4355-9807-E89F0DAA1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22860</xdr:colOff>
      <xdr:row>0</xdr:row>
      <xdr:rowOff>30481</xdr:rowOff>
    </xdr:from>
    <xdr:to>
      <xdr:col>3</xdr:col>
      <xdr:colOff>198120</xdr:colOff>
      <xdr:row>3</xdr:row>
      <xdr:rowOff>15240</xdr:rowOff>
    </xdr:to>
    <mc:AlternateContent xmlns:mc="http://schemas.openxmlformats.org/markup-compatibility/2006" xmlns:a14="http://schemas.microsoft.com/office/drawing/2010/main">
      <mc:Choice Requires="a14">
        <xdr:graphicFrame macro="">
          <xdr:nvGraphicFramePr>
            <xdr:cNvPr id="10" name="MarriedID">
              <a:extLst>
                <a:ext uri="{FF2B5EF4-FFF2-40B4-BE49-F238E27FC236}">
                  <a16:creationId xmlns:a16="http://schemas.microsoft.com/office/drawing/2014/main" id="{1897484B-7136-49EE-F77D-30B9BBE0D890}"/>
                </a:ext>
              </a:extLst>
            </xdr:cNvPr>
            <xdr:cNvGraphicFramePr/>
          </xdr:nvGraphicFramePr>
          <xdr:xfrm>
            <a:off x="0" y="0"/>
            <a:ext cx="0" cy="0"/>
          </xdr:xfrm>
          <a:graphic>
            <a:graphicData uri="http://schemas.microsoft.com/office/drawing/2010/slicer">
              <sle:slicer xmlns:sle="http://schemas.microsoft.com/office/drawing/2010/slicer" name="MarriedID"/>
            </a:graphicData>
          </a:graphic>
        </xdr:graphicFrame>
      </mc:Choice>
      <mc:Fallback xmlns="">
        <xdr:sp macro="" textlink="">
          <xdr:nvSpPr>
            <xdr:cNvPr id="0" name=""/>
            <xdr:cNvSpPr>
              <a:spLocks noTextEdit="1"/>
            </xdr:cNvSpPr>
          </xdr:nvSpPr>
          <xdr:spPr>
            <a:xfrm>
              <a:off x="22860" y="30481"/>
              <a:ext cx="2004060" cy="533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358140</xdr:colOff>
      <xdr:row>0</xdr:row>
      <xdr:rowOff>45721</xdr:rowOff>
    </xdr:from>
    <xdr:to>
      <xdr:col>7</xdr:col>
      <xdr:colOff>53340</xdr:colOff>
      <xdr:row>2</xdr:row>
      <xdr:rowOff>175260</xdr:rowOff>
    </xdr:to>
    <mc:AlternateContent xmlns:mc="http://schemas.openxmlformats.org/markup-compatibility/2006" xmlns:a14="http://schemas.microsoft.com/office/drawing/2010/main">
      <mc:Choice Requires="a14">
        <xdr:graphicFrame macro="">
          <xdr:nvGraphicFramePr>
            <xdr:cNvPr id="11" name="GenderID">
              <a:extLst>
                <a:ext uri="{FF2B5EF4-FFF2-40B4-BE49-F238E27FC236}">
                  <a16:creationId xmlns:a16="http://schemas.microsoft.com/office/drawing/2014/main" id="{10C5C0B0-0116-8E0C-DD3C-A94E6009D178}"/>
                </a:ext>
              </a:extLst>
            </xdr:cNvPr>
            <xdr:cNvGraphicFramePr/>
          </xdr:nvGraphicFramePr>
          <xdr:xfrm>
            <a:off x="0" y="0"/>
            <a:ext cx="0" cy="0"/>
          </xdr:xfrm>
          <a:graphic>
            <a:graphicData uri="http://schemas.microsoft.com/office/drawing/2010/slicer">
              <sle:slicer xmlns:sle="http://schemas.microsoft.com/office/drawing/2010/slicer" name="GenderID"/>
            </a:graphicData>
          </a:graphic>
        </xdr:graphicFrame>
      </mc:Choice>
      <mc:Fallback xmlns="">
        <xdr:sp macro="" textlink="">
          <xdr:nvSpPr>
            <xdr:cNvPr id="0" name=""/>
            <xdr:cNvSpPr>
              <a:spLocks noTextEdit="1"/>
            </xdr:cNvSpPr>
          </xdr:nvSpPr>
          <xdr:spPr>
            <a:xfrm>
              <a:off x="2186940" y="45721"/>
              <a:ext cx="2133600" cy="495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76200</xdr:colOff>
      <xdr:row>0</xdr:row>
      <xdr:rowOff>7621</xdr:rowOff>
    </xdr:from>
    <xdr:to>
      <xdr:col>22</xdr:col>
      <xdr:colOff>563880</xdr:colOff>
      <xdr:row>2</xdr:row>
      <xdr:rowOff>152400</xdr:rowOff>
    </xdr:to>
    <mc:AlternateContent xmlns:mc="http://schemas.openxmlformats.org/markup-compatibility/2006" xmlns:a14="http://schemas.microsoft.com/office/drawing/2010/main">
      <mc:Choice Requires="a14">
        <xdr:graphicFrame macro="">
          <xdr:nvGraphicFramePr>
            <xdr:cNvPr id="12" name="DeptID">
              <a:extLst>
                <a:ext uri="{FF2B5EF4-FFF2-40B4-BE49-F238E27FC236}">
                  <a16:creationId xmlns:a16="http://schemas.microsoft.com/office/drawing/2014/main" id="{7210F206-532B-0E5C-52D2-53E8FD191499}"/>
                </a:ext>
              </a:extLst>
            </xdr:cNvPr>
            <xdr:cNvGraphicFramePr/>
          </xdr:nvGraphicFramePr>
          <xdr:xfrm>
            <a:off x="0" y="0"/>
            <a:ext cx="0" cy="0"/>
          </xdr:xfrm>
          <a:graphic>
            <a:graphicData uri="http://schemas.microsoft.com/office/drawing/2010/slicer">
              <sle:slicer xmlns:sle="http://schemas.microsoft.com/office/drawing/2010/slicer" name="DeptID"/>
            </a:graphicData>
          </a:graphic>
        </xdr:graphicFrame>
      </mc:Choice>
      <mc:Fallback xmlns="">
        <xdr:sp macro="" textlink="">
          <xdr:nvSpPr>
            <xdr:cNvPr id="0" name=""/>
            <xdr:cNvSpPr>
              <a:spLocks noTextEdit="1"/>
            </xdr:cNvSpPr>
          </xdr:nvSpPr>
          <xdr:spPr>
            <a:xfrm>
              <a:off x="11658600" y="7621"/>
              <a:ext cx="2316480" cy="510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0</xdr:row>
      <xdr:rowOff>0</xdr:rowOff>
    </xdr:from>
    <xdr:to>
      <xdr:col>19</xdr:col>
      <xdr:colOff>22860</xdr:colOff>
      <xdr:row>2</xdr:row>
      <xdr:rowOff>160020</xdr:rowOff>
    </xdr:to>
    <mc:AlternateContent xmlns:mc="http://schemas.openxmlformats.org/markup-compatibility/2006" xmlns:a14="http://schemas.microsoft.com/office/drawing/2010/main">
      <mc:Choice Requires="a14">
        <xdr:graphicFrame macro="">
          <xdr:nvGraphicFramePr>
            <xdr:cNvPr id="13" name="PerfScoreID">
              <a:extLst>
                <a:ext uri="{FF2B5EF4-FFF2-40B4-BE49-F238E27FC236}">
                  <a16:creationId xmlns:a16="http://schemas.microsoft.com/office/drawing/2014/main" id="{76764DEE-9579-D444-FD07-11C691B2B3D6}"/>
                </a:ext>
              </a:extLst>
            </xdr:cNvPr>
            <xdr:cNvGraphicFramePr/>
          </xdr:nvGraphicFramePr>
          <xdr:xfrm>
            <a:off x="0" y="0"/>
            <a:ext cx="0" cy="0"/>
          </xdr:xfrm>
          <a:graphic>
            <a:graphicData uri="http://schemas.microsoft.com/office/drawing/2010/slicer">
              <sle:slicer xmlns:sle="http://schemas.microsoft.com/office/drawing/2010/slicer" name="PerfScoreID"/>
            </a:graphicData>
          </a:graphic>
        </xdr:graphicFrame>
      </mc:Choice>
      <mc:Fallback xmlns="">
        <xdr:sp macro="" textlink="">
          <xdr:nvSpPr>
            <xdr:cNvPr id="0" name=""/>
            <xdr:cNvSpPr>
              <a:spLocks noTextEdit="1"/>
            </xdr:cNvSpPr>
          </xdr:nvSpPr>
          <xdr:spPr>
            <a:xfrm>
              <a:off x="9220200" y="0"/>
              <a:ext cx="2385060" cy="525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Adnan ali" refreshedDate="46206.767306712965" createdVersion="8" refreshedVersion="8" minRefreshableVersion="3" recordCount="311" xr:uid="{5CE396D2-4105-47A3-A2B1-64A7FBD40B5C}">
  <cacheSource type="worksheet">
    <worksheetSource name="HRDataset_v14_selected_columns"/>
  </cacheSource>
  <cacheFields count="11">
    <cacheField name="Employee_Name" numFmtId="0">
      <sharedItems/>
    </cacheField>
    <cacheField name="EmpID" numFmtId="0">
      <sharedItems containsSemiMixedTypes="0" containsString="0" containsNumber="1" containsInteger="1" minValue="10001" maxValue="10311"/>
    </cacheField>
    <cacheField name="MarriedID" numFmtId="0">
      <sharedItems count="2">
        <s v="single"/>
        <s v="married"/>
      </sharedItems>
    </cacheField>
    <cacheField name="MaritalStatusID" numFmtId="0">
      <sharedItems/>
    </cacheField>
    <cacheField name="GenderID" numFmtId="0">
      <sharedItems count="2">
        <s v="Male"/>
        <s v="Female"/>
      </sharedItems>
    </cacheField>
    <cacheField name="EmpStatusID" numFmtId="0">
      <sharedItems/>
    </cacheField>
    <cacheField name="DeptID" numFmtId="0">
      <sharedItems containsSemiMixedTypes="0" containsString="0" containsNumber="1" containsInteger="1" minValue="1" maxValue="6" count="6">
        <n v="5"/>
        <n v="3"/>
        <n v="6"/>
        <n v="4"/>
        <n v="1"/>
        <n v="2"/>
      </sharedItems>
    </cacheField>
    <cacheField name="PerfScoreID" numFmtId="0">
      <sharedItems containsSemiMixedTypes="0" containsString="0" containsNumber="1" containsInteger="1" minValue="1" maxValue="4" count="4">
        <n v="4"/>
        <n v="3"/>
        <n v="2"/>
        <n v="1"/>
      </sharedItems>
    </cacheField>
    <cacheField name="FromDiversityJobFairID" numFmtId="0">
      <sharedItems/>
    </cacheField>
    <cacheField name="Salary" numFmtId="0">
      <sharedItems containsSemiMixedTypes="0" containsString="0" containsNumber="1" containsInteger="1" minValue="45046" maxValue="250000" count="308">
        <n v="62506"/>
        <n v="64991"/>
        <n v="57568"/>
        <n v="59365"/>
        <n v="58709"/>
        <n v="59026"/>
        <n v="51044"/>
        <n v="64919"/>
        <n v="62910"/>
        <n v="66441"/>
        <n v="65288"/>
        <n v="63763"/>
        <n v="62162"/>
        <n v="72640"/>
        <n v="52846"/>
        <n v="61656"/>
        <n v="54237"/>
        <n v="60380"/>
        <n v="64816"/>
        <n v="63108"/>
        <n v="68051"/>
        <n v="170500"/>
        <n v="63381"/>
        <n v="57583"/>
        <n v="56294"/>
        <n v="53189"/>
        <n v="51259"/>
        <n v="61584"/>
        <n v="46335"/>
        <n v="75188"/>
        <n v="62514"/>
        <n v="48888"/>
        <n v="54285"/>
        <n v="56847"/>
        <n v="71776"/>
        <n v="65902"/>
        <n v="64057"/>
        <n v="58530"/>
        <n v="52249"/>
        <n v="53171"/>
        <n v="51337"/>
        <n v="57815"/>
        <n v="53018"/>
        <n v="59892"/>
        <n v="48285"/>
        <n v="62957"/>
        <n v="54828"/>
        <n v="64246"/>
        <n v="62065"/>
        <n v="46998"/>
        <n v="55425"/>
        <n v="51908"/>
        <n v="61242"/>
        <n v="45069"/>
        <n v="60724"/>
        <n v="60436"/>
        <n v="63322"/>
        <n v="50482"/>
        <n v="46654"/>
        <n v="63973"/>
        <n v="46120"/>
        <n v="64738"/>
        <n v="77915"/>
        <n v="73330"/>
        <n v="45395"/>
        <n v="61349"/>
        <n v="54132"/>
        <n v="55315"/>
        <n v="62810"/>
        <n v="55688"/>
        <n v="83667"/>
        <n v="58207"/>
        <n v="72460"/>
        <n v="63430"/>
        <n v="74417"/>
        <n v="57575"/>
        <n v="52984"/>
        <n v="62061"/>
        <n v="66738"/>
        <n v="47414"/>
        <n v="53060"/>
        <n v="74226"/>
        <n v="47001"/>
        <n v="59472"/>
        <n v="46738"/>
        <n v="63353"/>
        <n v="60627"/>
        <n v="57975"/>
        <n v="56147"/>
        <n v="52087"/>
        <n v="60656"/>
        <n v="58939"/>
        <n v="64021"/>
        <n v="65714"/>
        <n v="47961"/>
        <n v="61355"/>
        <n v="63682"/>
        <n v="63025"/>
        <n v="59238"/>
        <n v="56339"/>
        <n v="88976"/>
        <n v="66541"/>
        <n v="60446"/>
        <n v="65893"/>
        <n v="45046"/>
        <n v="64955"/>
        <n v="50825"/>
        <n v="54670"/>
        <n v="47211"/>
        <n v="52505"/>
        <n v="74312"/>
        <n v="53492"/>
        <n v="64786"/>
        <n v="64066"/>
        <n v="59369"/>
        <n v="55722"/>
        <n v="58275"/>
        <n v="60070"/>
        <n v="57748"/>
        <n v="72609"/>
        <n v="55965"/>
        <n v="51505"/>
        <n v="54933"/>
        <n v="68898"/>
        <n v="63813"/>
        <n v="52177"/>
        <n v="68099"/>
        <n v="63478"/>
        <n v="68182"/>
        <n v="83082"/>
        <n v="46837"/>
        <n v="61154"/>
        <n v="54005"/>
        <n v="45433"/>
        <n v="66074"/>
        <n v="61962"/>
        <n v="63676"/>
        <n v="52624"/>
        <n v="67237"/>
        <n v="47434"/>
        <n v="52788"/>
        <n v="68407"/>
        <n v="62659"/>
        <n v="55800"/>
        <n v="50470"/>
        <n v="46664"/>
        <n v="71966"/>
        <n v="63515"/>
        <n v="53564"/>
        <n v="60270"/>
        <n v="45998"/>
        <n v="57954"/>
        <n v="74669"/>
        <n v="64724"/>
        <n v="46799"/>
        <n v="46430"/>
        <n v="61729"/>
        <n v="45115"/>
        <n v="64971"/>
        <n v="55578"/>
        <n v="50428"/>
        <n v="53180"/>
        <n v="46428"/>
        <n v="63878"/>
        <n v="62425"/>
        <n v="60754"/>
        <n v="72202"/>
        <n v="48413"/>
        <n v="67176"/>
        <n v="74813"/>
        <n v="58523"/>
        <n v="80512"/>
        <n v="50274"/>
        <n v="58371"/>
        <n v="55140"/>
        <n v="58062"/>
        <n v="59728"/>
        <n v="70507"/>
        <n v="48513"/>
        <n v="47837"/>
        <n v="57834"/>
        <n v="70131"/>
        <n v="53250"/>
        <n v="64375"/>
        <n v="50373"/>
        <n v="59144"/>
        <n v="56149"/>
        <n v="60340"/>
        <n v="59124"/>
        <n v="66825"/>
        <n v="66149"/>
        <n v="49256"/>
        <n v="69340"/>
        <n v="64995"/>
        <n v="82758"/>
        <n v="63450"/>
        <n v="52057"/>
        <n v="62385"/>
        <n v="72106"/>
        <n v="48495"/>
        <n v="52674"/>
        <n v="61422"/>
        <n v="47750"/>
        <n v="50923"/>
        <n v="49773"/>
        <n v="62068"/>
        <n v="104437"/>
        <n v="110000"/>
        <n v="103613"/>
        <n v="74326"/>
        <n v="100031"/>
        <n v="85028"/>
        <n v="99280"/>
        <n v="59370"/>
        <n v="114800"/>
        <n v="71707"/>
        <n v="105700"/>
        <n v="68999"/>
        <n v="93206"/>
        <n v="63291"/>
        <n v="108987"/>
        <n v="93093"/>
        <n v="83363"/>
        <n v="120000"/>
        <n v="148999"/>
        <n v="88527"/>
        <n v="55000"/>
        <n v="87565"/>
        <n v="75281"/>
        <n v="100416"/>
        <n v="113999"/>
        <n v="95660"/>
        <n v="50178"/>
        <n v="92328"/>
        <n v="106367"/>
        <n v="63000"/>
        <n v="77692"/>
        <n v="93396"/>
        <n v="71860"/>
        <n v="110929"/>
        <n v="66808"/>
        <n v="68678"/>
        <n v="83552"/>
        <n v="92329"/>
        <n v="65729"/>
        <n v="56991"/>
        <n v="101199"/>
        <n v="61568"/>
        <n v="96820"/>
        <n v="59231"/>
        <n v="70621"/>
        <n v="138888"/>
        <n v="74241"/>
        <n v="53366"/>
        <n v="70187"/>
        <n v="178000"/>
        <n v="99351"/>
        <n v="67251"/>
        <n v="65707"/>
        <n v="61555"/>
        <n v="74679"/>
        <n v="99020"/>
        <n v="70545"/>
        <n v="97999"/>
        <n v="180000"/>
        <n v="49920"/>
        <n v="65310"/>
        <n v="250000"/>
        <n v="71339"/>
        <n v="64520"/>
        <n v="81584"/>
        <n v="93046"/>
        <n v="70468"/>
        <n v="51777"/>
        <n v="105688"/>
        <n v="157000"/>
        <n v="52599"/>
        <n v="87921"/>
        <n v="63695"/>
        <n v="63051"/>
        <n v="68829"/>
        <n v="93554"/>
        <n v="61844"/>
        <n v="95920"/>
        <n v="61809"/>
        <n v="89883"/>
        <n v="150290"/>
        <n v="140920"/>
        <n v="86214"/>
        <n v="50750"/>
        <n v="87826"/>
        <n v="51920"/>
        <n v="72992"/>
        <n v="66593"/>
        <n v="58273"/>
        <n v="63003"/>
        <n v="60120"/>
        <n v="92989"/>
        <n v="90100"/>
        <n v="58370"/>
        <n v="64397"/>
        <n v="76029"/>
        <n v="57859"/>
        <n v="55875"/>
        <n v="84903"/>
        <n v="107226"/>
        <n v="220450"/>
        <n v="89292"/>
      </sharedItems>
    </cacheField>
    <cacheField name="Annual Salary" numFmtId="0">
      <sharedItems containsSemiMixedTypes="0" containsString="0" containsNumber="1" containsInteger="1" minValue="540552" maxValue="3000000"/>
    </cacheField>
  </cacheFields>
  <extLst>
    <ext xmlns:x14="http://schemas.microsoft.com/office/spreadsheetml/2009/9/main" uri="{725AE2AE-9491-48be-B2B4-4EB974FC3084}">
      <x14:pivotCacheDefinition pivotCacheId="1533950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x v="0"/>
    <s v="single"/>
    <x v="0"/>
    <s v="Active"/>
    <x v="0"/>
    <x v="0"/>
    <s v="No"/>
    <x v="0"/>
    <n v="750072"/>
  </r>
  <r>
    <s v="Alagbe,Trina"/>
    <n v="10088"/>
    <x v="1"/>
    <s v="married"/>
    <x v="1"/>
    <s v="Active"/>
    <x v="0"/>
    <x v="1"/>
    <s v="No"/>
    <x v="1"/>
    <n v="779892"/>
  </r>
  <r>
    <s v="Anderson, Linda"/>
    <n v="10002"/>
    <x v="0"/>
    <s v="single"/>
    <x v="1"/>
    <s v="Active"/>
    <x v="0"/>
    <x v="0"/>
    <s v="No"/>
    <x v="2"/>
    <n v="690816"/>
  </r>
  <r>
    <s v="Athwal, Sam"/>
    <n v="10062"/>
    <x v="0"/>
    <s v="seperated"/>
    <x v="0"/>
    <s v="Active"/>
    <x v="0"/>
    <x v="1"/>
    <s v="No"/>
    <x v="3"/>
    <n v="712380"/>
  </r>
  <r>
    <s v="Barone, Francesco  A"/>
    <n v="10265"/>
    <x v="0"/>
    <s v="single"/>
    <x v="0"/>
    <s v="Active"/>
    <x v="0"/>
    <x v="1"/>
    <s v="No"/>
    <x v="4"/>
    <n v="704508"/>
  </r>
  <r>
    <s v="Beatrice, Courtney"/>
    <n v="10055"/>
    <x v="0"/>
    <s v="single"/>
    <x v="1"/>
    <s v="Active"/>
    <x v="0"/>
    <x v="1"/>
    <s v="No"/>
    <x v="5"/>
    <n v="708312"/>
  </r>
  <r>
    <s v="Bernstein, Sean"/>
    <n v="10046"/>
    <x v="0"/>
    <s v="single"/>
    <x v="0"/>
    <s v="Active"/>
    <x v="0"/>
    <x v="1"/>
    <s v="No"/>
    <x v="6"/>
    <n v="612528"/>
  </r>
  <r>
    <s v="Biden, Lowan  M"/>
    <n v="10226"/>
    <x v="0"/>
    <s v="Divorced"/>
    <x v="1"/>
    <s v="Active"/>
    <x v="0"/>
    <x v="1"/>
    <s v="No"/>
    <x v="7"/>
    <n v="779028"/>
  </r>
  <r>
    <s v="Billis, Helen"/>
    <n v="10003"/>
    <x v="1"/>
    <s v="married"/>
    <x v="1"/>
    <s v="Active"/>
    <x v="0"/>
    <x v="0"/>
    <s v="No"/>
    <x v="8"/>
    <n v="754920"/>
  </r>
  <r>
    <s v="Blount, Dianna"/>
    <n v="10294"/>
    <x v="0"/>
    <s v="single"/>
    <x v="1"/>
    <s v="Active"/>
    <x v="0"/>
    <x v="2"/>
    <s v="No"/>
    <x v="9"/>
    <n v="797292"/>
  </r>
  <r>
    <s v="Buccheri, Joseph"/>
    <n v="10184"/>
    <x v="0"/>
    <s v="single"/>
    <x v="0"/>
    <s v="Active"/>
    <x v="0"/>
    <x v="1"/>
    <s v="No"/>
    <x v="10"/>
    <n v="783456"/>
  </r>
  <r>
    <s v="Burke, Joelle"/>
    <n v="10107"/>
    <x v="0"/>
    <s v="single"/>
    <x v="1"/>
    <s v="Active"/>
    <x v="0"/>
    <x v="1"/>
    <s v="No"/>
    <x v="11"/>
    <n v="765156"/>
  </r>
  <r>
    <s v="Burkett, Benjamin"/>
    <n v="10181"/>
    <x v="1"/>
    <s v="married"/>
    <x v="0"/>
    <s v="Active"/>
    <x v="0"/>
    <x v="1"/>
    <s v="No"/>
    <x v="12"/>
    <n v="745944"/>
  </r>
  <r>
    <s v="Candie, Calvin"/>
    <n v="10001"/>
    <x v="0"/>
    <s v="single"/>
    <x v="0"/>
    <s v="Active"/>
    <x v="0"/>
    <x v="0"/>
    <s v="No"/>
    <x v="13"/>
    <n v="871680"/>
  </r>
  <r>
    <s v="Carey, Michael"/>
    <n v="10115"/>
    <x v="0"/>
    <s v="single"/>
    <x v="0"/>
    <s v="Active"/>
    <x v="0"/>
    <x v="1"/>
    <s v="No"/>
    <x v="14"/>
    <n v="634152"/>
  </r>
  <r>
    <s v="Chace, Beatrice"/>
    <n v="10067"/>
    <x v="0"/>
    <s v="single"/>
    <x v="1"/>
    <s v="Active"/>
    <x v="0"/>
    <x v="1"/>
    <s v="No"/>
    <x v="15"/>
    <n v="739872"/>
  </r>
  <r>
    <s v="Chan, Lin"/>
    <n v="10210"/>
    <x v="0"/>
    <s v="single"/>
    <x v="1"/>
    <s v="Active"/>
    <x v="0"/>
    <x v="1"/>
    <s v="No"/>
    <x v="16"/>
    <n v="650844"/>
  </r>
  <r>
    <s v="Chang, Donovan  E"/>
    <n v="10154"/>
    <x v="0"/>
    <s v="single"/>
    <x v="0"/>
    <s v="Active"/>
    <x v="0"/>
    <x v="1"/>
    <s v="No"/>
    <x v="17"/>
    <n v="724560"/>
  </r>
  <r>
    <s v="Cierpiszewski, Caroline"/>
    <n v="10168"/>
    <x v="0"/>
    <s v="single"/>
    <x v="1"/>
    <s v="Active"/>
    <x v="0"/>
    <x v="1"/>
    <s v="No"/>
    <x v="18"/>
    <n v="777792"/>
  </r>
  <r>
    <s v="Cockel, James"/>
    <n v="10261"/>
    <x v="0"/>
    <s v="single"/>
    <x v="0"/>
    <s v="Active"/>
    <x v="0"/>
    <x v="1"/>
    <s v="No"/>
    <x v="19"/>
    <n v="757296"/>
  </r>
  <r>
    <s v="Corleone, Michael"/>
    <n v="10282"/>
    <x v="0"/>
    <s v="Divorced"/>
    <x v="0"/>
    <s v="Active"/>
    <x v="0"/>
    <x v="2"/>
    <s v="No"/>
    <x v="20"/>
    <n v="816612"/>
  </r>
  <r>
    <s v="Corleone, Vito"/>
    <n v="10019"/>
    <x v="0"/>
    <s v="single"/>
    <x v="0"/>
    <s v="Active"/>
    <x v="0"/>
    <x v="0"/>
    <s v="No"/>
    <x v="21"/>
    <n v="2046000"/>
  </r>
  <r>
    <s v="Cornett, Lisa"/>
    <n v="10094"/>
    <x v="1"/>
    <s v="married"/>
    <x v="1"/>
    <s v="Active"/>
    <x v="0"/>
    <x v="1"/>
    <s v="No"/>
    <x v="22"/>
    <n v="760572"/>
  </r>
  <r>
    <s v="Darson, Jene'ya"/>
    <n v="10056"/>
    <x v="1"/>
    <s v="married"/>
    <x v="1"/>
    <s v="Active"/>
    <x v="0"/>
    <x v="1"/>
    <s v="No"/>
    <x v="23"/>
    <n v="690996"/>
  </r>
  <r>
    <s v="Davis, Daniel"/>
    <n v="10143"/>
    <x v="0"/>
    <s v="single"/>
    <x v="0"/>
    <s v="Active"/>
    <x v="0"/>
    <x v="1"/>
    <s v="No"/>
    <x v="24"/>
    <n v="675528"/>
  </r>
  <r>
    <s v="Desimone, Carl"/>
    <n v="10310"/>
    <x v="1"/>
    <s v="married"/>
    <x v="0"/>
    <s v="Active"/>
    <x v="0"/>
    <x v="3"/>
    <s v="No"/>
    <x v="25"/>
    <n v="638268"/>
  </r>
  <r>
    <s v="Dickinson, Geoff"/>
    <n v="10276"/>
    <x v="0"/>
    <s v="single"/>
    <x v="0"/>
    <s v="Active"/>
    <x v="0"/>
    <x v="1"/>
    <s v="No"/>
    <x v="26"/>
    <n v="615108"/>
  </r>
  <r>
    <s v="DiNocco, Lily"/>
    <n v="10284"/>
    <x v="1"/>
    <s v="married"/>
    <x v="1"/>
    <s v="Active"/>
    <x v="0"/>
    <x v="2"/>
    <s v="No"/>
    <x v="27"/>
    <n v="739008"/>
  </r>
  <r>
    <s v="Dobrin, Denisa  S"/>
    <n v="10207"/>
    <x v="0"/>
    <s v="single"/>
    <x v="1"/>
    <s v="Active"/>
    <x v="0"/>
    <x v="1"/>
    <s v="No"/>
    <x v="28"/>
    <n v="556020"/>
  </r>
  <r>
    <s v="Dunn, Amy"/>
    <n v="10105"/>
    <x v="0"/>
    <s v="single"/>
    <x v="1"/>
    <s v="Active"/>
    <x v="0"/>
    <x v="1"/>
    <s v="No"/>
    <x v="29"/>
    <n v="902256"/>
  </r>
  <r>
    <s v="Dunne, Amy"/>
    <n v="10211"/>
    <x v="1"/>
    <s v="married"/>
    <x v="1"/>
    <s v="Active"/>
    <x v="0"/>
    <x v="1"/>
    <s v="No"/>
    <x v="30"/>
    <n v="750168"/>
  </r>
  <r>
    <s v="Engdahl, Jean"/>
    <n v="10247"/>
    <x v="0"/>
    <s v="single"/>
    <x v="0"/>
    <s v="Active"/>
    <x v="0"/>
    <x v="1"/>
    <s v="No"/>
    <x v="31"/>
    <n v="586656"/>
  </r>
  <r>
    <s v="England, Rex"/>
    <n v="10235"/>
    <x v="1"/>
    <s v="married"/>
    <x v="0"/>
    <s v="Active"/>
    <x v="0"/>
    <x v="1"/>
    <s v="No"/>
    <x v="32"/>
    <n v="651420"/>
  </r>
  <r>
    <s v="Erilus, Angela"/>
    <n v="10299"/>
    <x v="0"/>
    <s v="Widowed"/>
    <x v="1"/>
    <s v="Active"/>
    <x v="0"/>
    <x v="3"/>
    <s v="No"/>
    <x v="33"/>
    <n v="682164"/>
  </r>
  <r>
    <s v="Faller, Megan"/>
    <n v="10263"/>
    <x v="1"/>
    <s v="married"/>
    <x v="1"/>
    <s v="Active"/>
    <x v="0"/>
    <x v="1"/>
    <s v="No"/>
    <x v="34"/>
    <n v="861312"/>
  </r>
  <r>
    <s v="Fancett, Nicole"/>
    <n v="10136"/>
    <x v="0"/>
    <s v="single"/>
    <x v="1"/>
    <s v="Active"/>
    <x v="0"/>
    <x v="1"/>
    <s v="No"/>
    <x v="35"/>
    <n v="790824"/>
  </r>
  <r>
    <s v="Fernandes, Nilson"/>
    <n v="10308"/>
    <x v="1"/>
    <s v="married"/>
    <x v="0"/>
    <s v="Active"/>
    <x v="0"/>
    <x v="3"/>
    <s v="No"/>
    <x v="36"/>
    <n v="768684"/>
  </r>
  <r>
    <s v="Fidelia,  Libby"/>
    <n v="10049"/>
    <x v="1"/>
    <s v="married"/>
    <x v="1"/>
    <s v="Active"/>
    <x v="0"/>
    <x v="1"/>
    <s v="No"/>
    <x v="37"/>
    <n v="702360"/>
  </r>
  <r>
    <s v="Garcia, Raul"/>
    <n v="10111"/>
    <x v="0"/>
    <s v="single"/>
    <x v="0"/>
    <s v="Active"/>
    <x v="0"/>
    <x v="1"/>
    <s v="No"/>
    <x v="38"/>
    <n v="626988"/>
  </r>
  <r>
    <s v="Gaul, Barbara"/>
    <n v="10257"/>
    <x v="0"/>
    <s v="single"/>
    <x v="1"/>
    <s v="Active"/>
    <x v="0"/>
    <x v="1"/>
    <s v="No"/>
    <x v="39"/>
    <n v="638052"/>
  </r>
  <r>
    <s v="Gentry, Mildred"/>
    <n v="10159"/>
    <x v="1"/>
    <s v="married"/>
    <x v="1"/>
    <s v="Active"/>
    <x v="0"/>
    <x v="1"/>
    <s v="No"/>
    <x v="40"/>
    <n v="616044"/>
  </r>
  <r>
    <s v="Girifalco, Evelyn"/>
    <n v="10018"/>
    <x v="0"/>
    <s v="single"/>
    <x v="1"/>
    <s v="Active"/>
    <x v="0"/>
    <x v="0"/>
    <s v="No"/>
    <x v="41"/>
    <n v="693780"/>
  </r>
  <r>
    <s v="Gold, Shenice"/>
    <n v="10243"/>
    <x v="0"/>
    <s v="single"/>
    <x v="1"/>
    <s v="Active"/>
    <x v="0"/>
    <x v="1"/>
    <s v="No"/>
    <x v="42"/>
    <n v="636216"/>
  </r>
  <r>
    <s v="Gonzalez, Cayo"/>
    <n v="10031"/>
    <x v="0"/>
    <s v="Divorced"/>
    <x v="0"/>
    <s v="Active"/>
    <x v="0"/>
    <x v="0"/>
    <s v="Yes"/>
    <x v="43"/>
    <n v="718704"/>
  </r>
  <r>
    <s v="Gordon, David"/>
    <n v="10051"/>
    <x v="1"/>
    <s v="married"/>
    <x v="0"/>
    <s v="Active"/>
    <x v="0"/>
    <x v="1"/>
    <s v="No"/>
    <x v="44"/>
    <n v="579420"/>
  </r>
  <r>
    <s v="Gray, Elijiah"/>
    <n v="10098"/>
    <x v="0"/>
    <s v="Divorced"/>
    <x v="0"/>
    <s v="Active"/>
    <x v="0"/>
    <x v="1"/>
    <s v="No"/>
    <x v="45"/>
    <n v="755484"/>
  </r>
  <r>
    <s v="Handschiegl, Joanne"/>
    <n v="10125"/>
    <x v="1"/>
    <s v="married"/>
    <x v="1"/>
    <s v="Active"/>
    <x v="0"/>
    <x v="1"/>
    <s v="No"/>
    <x v="46"/>
    <n v="657936"/>
  </r>
  <r>
    <s v="Hankard, Earnest"/>
    <n v="10074"/>
    <x v="0"/>
    <s v="single"/>
    <x v="0"/>
    <s v="Active"/>
    <x v="0"/>
    <x v="1"/>
    <s v="No"/>
    <x v="47"/>
    <n v="770952"/>
  </r>
  <r>
    <s v="Harrison, Kara"/>
    <n v="10007"/>
    <x v="1"/>
    <s v="married"/>
    <x v="1"/>
    <s v="Active"/>
    <x v="0"/>
    <x v="0"/>
    <s v="No"/>
    <x v="48"/>
    <n v="744780"/>
  </r>
  <r>
    <s v="Heitzman, Anthony"/>
    <n v="10129"/>
    <x v="0"/>
    <s v="single"/>
    <x v="0"/>
    <s v="Active"/>
    <x v="0"/>
    <x v="1"/>
    <s v="No"/>
    <x v="49"/>
    <n v="563976"/>
  </r>
  <r>
    <s v="Hudson, Jane"/>
    <n v="10248"/>
    <x v="0"/>
    <s v="single"/>
    <x v="1"/>
    <s v="Active"/>
    <x v="0"/>
    <x v="1"/>
    <s v="No"/>
    <x v="50"/>
    <n v="665100"/>
  </r>
  <r>
    <s v="Ivey, Rose"/>
    <n v="10139"/>
    <x v="0"/>
    <s v="single"/>
    <x v="1"/>
    <s v="Active"/>
    <x v="0"/>
    <x v="1"/>
    <s v="No"/>
    <x v="51"/>
    <n v="622896"/>
  </r>
  <r>
    <s v="Jackson, Maryellen"/>
    <n v="10227"/>
    <x v="0"/>
    <s v="single"/>
    <x v="1"/>
    <s v="Active"/>
    <x v="0"/>
    <x v="1"/>
    <s v="No"/>
    <x v="52"/>
    <n v="734904"/>
  </r>
  <r>
    <s v="Jacobi, Hannah"/>
    <n v="10236"/>
    <x v="0"/>
    <s v="Divorced"/>
    <x v="1"/>
    <s v="Active"/>
    <x v="0"/>
    <x v="1"/>
    <s v="No"/>
    <x v="53"/>
    <n v="540828"/>
  </r>
  <r>
    <s v="Jeannite, Tayana"/>
    <n v="10009"/>
    <x v="0"/>
    <s v="Divorced"/>
    <x v="1"/>
    <s v="Active"/>
    <x v="0"/>
    <x v="0"/>
    <s v="No"/>
    <x v="54"/>
    <n v="728688"/>
  </r>
  <r>
    <s v="Jhaveri, Sneha"/>
    <n v="10060"/>
    <x v="0"/>
    <s v="Widowed"/>
    <x v="1"/>
    <s v="Active"/>
    <x v="0"/>
    <x v="1"/>
    <s v="No"/>
    <x v="55"/>
    <n v="725232"/>
  </r>
  <r>
    <s v="Johnston, Yen"/>
    <n v="10036"/>
    <x v="0"/>
    <s v="single"/>
    <x v="1"/>
    <s v="Active"/>
    <x v="0"/>
    <x v="0"/>
    <s v="No"/>
    <x v="56"/>
    <n v="759864"/>
  </r>
  <r>
    <s v="Keatts, Kramer"/>
    <n v="10192"/>
    <x v="0"/>
    <s v="single"/>
    <x v="0"/>
    <s v="Active"/>
    <x v="0"/>
    <x v="1"/>
    <s v="No"/>
    <x v="57"/>
    <n v="605784"/>
  </r>
  <r>
    <s v="Knapp, Bradley  J"/>
    <n v="10208"/>
    <x v="0"/>
    <s v="single"/>
    <x v="0"/>
    <s v="Active"/>
    <x v="0"/>
    <x v="1"/>
    <s v="No"/>
    <x v="58"/>
    <n v="559848"/>
  </r>
  <r>
    <s v="Kretschmer, John"/>
    <n v="10176"/>
    <x v="1"/>
    <s v="married"/>
    <x v="0"/>
    <s v="Active"/>
    <x v="0"/>
    <x v="1"/>
    <s v="No"/>
    <x v="59"/>
    <n v="767676"/>
  </r>
  <r>
    <s v="Langton, Enrico"/>
    <n v="10052"/>
    <x v="1"/>
    <s v="married"/>
    <x v="0"/>
    <s v="Active"/>
    <x v="0"/>
    <x v="1"/>
    <s v="No"/>
    <x v="60"/>
    <n v="553440"/>
  </r>
  <r>
    <s v="Lecter, Hannibal"/>
    <n v="10251"/>
    <x v="1"/>
    <s v="married"/>
    <x v="0"/>
    <s v="Active"/>
    <x v="0"/>
    <x v="1"/>
    <s v="No"/>
    <x v="61"/>
    <n v="776856"/>
  </r>
  <r>
    <s v="Liebig, Ketsia"/>
    <n v="10017"/>
    <x v="1"/>
    <s v="married"/>
    <x v="1"/>
    <s v="Active"/>
    <x v="0"/>
    <x v="0"/>
    <s v="No"/>
    <x v="62"/>
    <n v="934980"/>
  </r>
  <r>
    <s v="Lunquist, Lisa"/>
    <n v="10035"/>
    <x v="0"/>
    <s v="single"/>
    <x v="1"/>
    <s v="Active"/>
    <x v="0"/>
    <x v="0"/>
    <s v="No"/>
    <x v="63"/>
    <n v="879960"/>
  </r>
  <r>
    <s v="Mahoney, Lauren"/>
    <n v="10219"/>
    <x v="0"/>
    <s v="single"/>
    <x v="1"/>
    <s v="Active"/>
    <x v="0"/>
    <x v="1"/>
    <s v="No"/>
    <x v="64"/>
    <n v="544740"/>
  </r>
  <r>
    <s v="Mangal, Debbie"/>
    <n v="10279"/>
    <x v="1"/>
    <s v="married"/>
    <x v="1"/>
    <s v="Active"/>
    <x v="0"/>
    <x v="1"/>
    <s v="No"/>
    <x v="65"/>
    <n v="736188"/>
  </r>
  <r>
    <s v="Maurice, Shana"/>
    <n v="10053"/>
    <x v="1"/>
    <s v="married"/>
    <x v="1"/>
    <s v="Active"/>
    <x v="0"/>
    <x v="1"/>
    <s v="No"/>
    <x v="66"/>
    <n v="649584"/>
  </r>
  <r>
    <s v="Carthy, B'rigit"/>
    <n v="10076"/>
    <x v="0"/>
    <s v="single"/>
    <x v="1"/>
    <s v="Active"/>
    <x v="0"/>
    <x v="1"/>
    <s v="No"/>
    <x v="67"/>
    <n v="663780"/>
  </r>
  <r>
    <s v="Mckenna, Sandy"/>
    <n v="10145"/>
    <x v="1"/>
    <s v="married"/>
    <x v="1"/>
    <s v="Active"/>
    <x v="0"/>
    <x v="1"/>
    <s v="No"/>
    <x v="68"/>
    <n v="753720"/>
  </r>
  <r>
    <s v="Medeiros, Jennifer"/>
    <n v="10068"/>
    <x v="0"/>
    <s v="single"/>
    <x v="1"/>
    <s v="Active"/>
    <x v="0"/>
    <x v="1"/>
    <s v="No"/>
    <x v="69"/>
    <n v="668256"/>
  </r>
  <r>
    <s v="Miller, Brannon"/>
    <n v="10116"/>
    <x v="0"/>
    <s v="single"/>
    <x v="0"/>
    <s v="Active"/>
    <x v="0"/>
    <x v="1"/>
    <s v="No"/>
    <x v="70"/>
    <n v="1004004"/>
  </r>
  <r>
    <s v="Monkfish, Erasumus"/>
    <n v="10213"/>
    <x v="1"/>
    <s v="married"/>
    <x v="0"/>
    <s v="Active"/>
    <x v="0"/>
    <x v="1"/>
    <s v="No"/>
    <x v="71"/>
    <n v="698484"/>
  </r>
  <r>
    <s v="Monterro, Luisa"/>
    <n v="10025"/>
    <x v="0"/>
    <s v="single"/>
    <x v="1"/>
    <s v="Active"/>
    <x v="0"/>
    <x v="0"/>
    <s v="No"/>
    <x v="72"/>
    <n v="869520"/>
  </r>
  <r>
    <s v="Motlagh,  Dawn"/>
    <n v="10254"/>
    <x v="0"/>
    <s v="Divorced"/>
    <x v="1"/>
    <s v="Active"/>
    <x v="0"/>
    <x v="1"/>
    <s v="No"/>
    <x v="73"/>
    <n v="761160"/>
  </r>
  <r>
    <s v="Moumanil, Maliki"/>
    <n v="10120"/>
    <x v="0"/>
    <s v="Widowed"/>
    <x v="0"/>
    <s v="Active"/>
    <x v="0"/>
    <x v="1"/>
    <s v="No"/>
    <x v="74"/>
    <n v="893004"/>
  </r>
  <r>
    <s v="Myers, Michael"/>
    <n v="10216"/>
    <x v="0"/>
    <s v="single"/>
    <x v="0"/>
    <s v="Active"/>
    <x v="0"/>
    <x v="1"/>
    <s v="No"/>
    <x v="75"/>
    <n v="690900"/>
  </r>
  <r>
    <s v="Ngodup, Shari"/>
    <n v="10037"/>
    <x v="0"/>
    <s v="Widowed"/>
    <x v="1"/>
    <s v="Active"/>
    <x v="0"/>
    <x v="0"/>
    <s v="Yes"/>
    <x v="76"/>
    <n v="635808"/>
  </r>
  <r>
    <s v="Nguyen, Lei-Ming"/>
    <n v="10206"/>
    <x v="0"/>
    <s v="single"/>
    <x v="1"/>
    <s v="Active"/>
    <x v="0"/>
    <x v="1"/>
    <s v="No"/>
    <x v="77"/>
    <n v="744732"/>
  </r>
  <r>
    <s v="Nowlan, Kristie"/>
    <n v="10104"/>
    <x v="0"/>
    <s v="single"/>
    <x v="1"/>
    <s v="Active"/>
    <x v="0"/>
    <x v="1"/>
    <s v="No"/>
    <x v="78"/>
    <n v="800856"/>
  </r>
  <r>
    <s v="Osturnka, Adeel"/>
    <n v="10021"/>
    <x v="1"/>
    <s v="married"/>
    <x v="0"/>
    <s v="Active"/>
    <x v="0"/>
    <x v="0"/>
    <s v="No"/>
    <x v="79"/>
    <n v="568968"/>
  </r>
  <r>
    <s v="Owad, Clinton"/>
    <n v="10281"/>
    <x v="0"/>
    <s v="single"/>
    <x v="0"/>
    <s v="Active"/>
    <x v="0"/>
    <x v="2"/>
    <s v="No"/>
    <x v="80"/>
    <n v="636720"/>
  </r>
  <r>
    <s v="Petingill, Shana"/>
    <n v="10217"/>
    <x v="1"/>
    <s v="married"/>
    <x v="1"/>
    <s v="Active"/>
    <x v="0"/>
    <x v="1"/>
    <s v="No"/>
    <x v="81"/>
    <n v="890712"/>
  </r>
  <r>
    <s v="Pitt, Brad"/>
    <n v="10164"/>
    <x v="0"/>
    <s v="single"/>
    <x v="0"/>
    <s v="Active"/>
    <x v="0"/>
    <x v="1"/>
    <s v="No"/>
    <x v="82"/>
    <n v="564012"/>
  </r>
  <r>
    <s v="Punjabhi, Louis"/>
    <n v="10225"/>
    <x v="0"/>
    <s v="single"/>
    <x v="0"/>
    <s v="Active"/>
    <x v="0"/>
    <x v="1"/>
    <s v="No"/>
    <x v="83"/>
    <n v="713664"/>
  </r>
  <r>
    <s v="Rivera, Haley"/>
    <n v="10011"/>
    <x v="1"/>
    <s v="married"/>
    <x v="1"/>
    <s v="Active"/>
    <x v="0"/>
    <x v="0"/>
    <s v="No"/>
    <x v="84"/>
    <n v="560856"/>
  </r>
  <r>
    <s v="Robinson, Elias"/>
    <n v="10020"/>
    <x v="0"/>
    <s v="seperated"/>
    <x v="0"/>
    <s v="Active"/>
    <x v="0"/>
    <x v="0"/>
    <s v="No"/>
    <x v="85"/>
    <n v="760236"/>
  </r>
  <r>
    <s v="Rose, Ashley"/>
    <n v="10054"/>
    <x v="0"/>
    <s v="Widowed"/>
    <x v="1"/>
    <s v="Active"/>
    <x v="0"/>
    <x v="1"/>
    <s v="No"/>
    <x v="86"/>
    <n v="727524"/>
  </r>
  <r>
    <s v="Sahoo, Adil"/>
    <n v="10233"/>
    <x v="1"/>
    <s v="married"/>
    <x v="0"/>
    <s v="Active"/>
    <x v="0"/>
    <x v="1"/>
    <s v="No"/>
    <x v="87"/>
    <n v="695700"/>
  </r>
  <r>
    <s v="Sander, Kamrin"/>
    <n v="10169"/>
    <x v="1"/>
    <s v="married"/>
    <x v="1"/>
    <s v="Active"/>
    <x v="0"/>
    <x v="1"/>
    <s v="No"/>
    <x v="88"/>
    <n v="673764"/>
  </r>
  <r>
    <s v="Shields, Seffi"/>
    <n v="10091"/>
    <x v="1"/>
    <s v="married"/>
    <x v="1"/>
    <s v="Active"/>
    <x v="0"/>
    <x v="1"/>
    <s v="No"/>
    <x v="89"/>
    <n v="625044"/>
  </r>
  <r>
    <s v="Smith, Joe"/>
    <n v="10027"/>
    <x v="0"/>
    <s v="single"/>
    <x v="0"/>
    <s v="Active"/>
    <x v="0"/>
    <x v="0"/>
    <s v="No"/>
    <x v="90"/>
    <n v="727872"/>
  </r>
  <r>
    <s v="Smith, Sade"/>
    <n v="10157"/>
    <x v="0"/>
    <s v="single"/>
    <x v="1"/>
    <s v="Active"/>
    <x v="0"/>
    <x v="1"/>
    <s v="No"/>
    <x v="91"/>
    <n v="707268"/>
  </r>
  <r>
    <s v="Sparks, Taylor"/>
    <n v="10302"/>
    <x v="1"/>
    <s v="married"/>
    <x v="1"/>
    <s v="Active"/>
    <x v="0"/>
    <x v="3"/>
    <s v="No"/>
    <x v="92"/>
    <n v="768252"/>
  </r>
  <r>
    <s v="Spirea, Kelley"/>
    <n v="10090"/>
    <x v="1"/>
    <s v="married"/>
    <x v="1"/>
    <s v="Active"/>
    <x v="0"/>
    <x v="1"/>
    <s v="No"/>
    <x v="93"/>
    <n v="788568"/>
  </r>
  <r>
    <s v="Stanford,Barbara  M"/>
    <n v="10278"/>
    <x v="0"/>
    <s v="Divorced"/>
    <x v="1"/>
    <s v="Active"/>
    <x v="0"/>
    <x v="1"/>
    <s v="No"/>
    <x v="94"/>
    <n v="575532"/>
  </r>
  <r>
    <s v="Stoica, Rick"/>
    <n v="10266"/>
    <x v="1"/>
    <s v="married"/>
    <x v="0"/>
    <s v="Active"/>
    <x v="0"/>
    <x v="1"/>
    <s v="No"/>
    <x v="95"/>
    <n v="736260"/>
  </r>
  <r>
    <s v="Sullivan, Kissy"/>
    <n v="10158"/>
    <x v="1"/>
    <s v="married"/>
    <x v="1"/>
    <s v="Active"/>
    <x v="0"/>
    <x v="1"/>
    <s v="No"/>
    <x v="96"/>
    <n v="764184"/>
  </r>
  <r>
    <s v="Sullivan, Timothy"/>
    <n v="10117"/>
    <x v="1"/>
    <s v="married"/>
    <x v="0"/>
    <s v="Active"/>
    <x v="0"/>
    <x v="1"/>
    <s v="No"/>
    <x v="97"/>
    <n v="756300"/>
  </r>
  <r>
    <s v="Sutwell, Barbara"/>
    <n v="10209"/>
    <x v="0"/>
    <s v="single"/>
    <x v="1"/>
    <s v="Active"/>
    <x v="0"/>
    <x v="1"/>
    <s v="No"/>
    <x v="98"/>
    <n v="710856"/>
  </r>
  <r>
    <s v="Tippett, Jeanette"/>
    <n v="10123"/>
    <x v="0"/>
    <s v="Divorced"/>
    <x v="1"/>
    <s v="Active"/>
    <x v="0"/>
    <x v="1"/>
    <s v="No"/>
    <x v="99"/>
    <n v="676068"/>
  </r>
  <r>
    <s v="Trang, Mei"/>
    <n v="10287"/>
    <x v="0"/>
    <s v="single"/>
    <x v="1"/>
    <s v="Active"/>
    <x v="0"/>
    <x v="2"/>
    <s v="No"/>
    <x v="97"/>
    <n v="756300"/>
  </r>
  <r>
    <s v="Vega, Vincent"/>
    <n v="10144"/>
    <x v="0"/>
    <s v="Divorced"/>
    <x v="0"/>
    <s v="Active"/>
    <x v="0"/>
    <x v="1"/>
    <s v="No"/>
    <x v="100"/>
    <n v="1067712"/>
  </r>
  <r>
    <s v="Walker, Roger"/>
    <n v="10190"/>
    <x v="0"/>
    <s v="single"/>
    <x v="0"/>
    <s v="Active"/>
    <x v="0"/>
    <x v="1"/>
    <s v="No"/>
    <x v="101"/>
    <n v="798492"/>
  </r>
  <r>
    <s v="Wolk, Hang  T"/>
    <n v="10174"/>
    <x v="0"/>
    <s v="single"/>
    <x v="1"/>
    <s v="Active"/>
    <x v="0"/>
    <x v="1"/>
    <s v="No"/>
    <x v="102"/>
    <n v="725352"/>
  </r>
  <r>
    <s v="Woodson, Jason"/>
    <n v="10135"/>
    <x v="0"/>
    <s v="single"/>
    <x v="0"/>
    <s v="Active"/>
    <x v="0"/>
    <x v="1"/>
    <s v="No"/>
    <x v="103"/>
    <n v="790716"/>
  </r>
  <r>
    <s v="Zima, Colleen"/>
    <n v="10271"/>
    <x v="0"/>
    <s v="seperated"/>
    <x v="1"/>
    <s v="Active"/>
    <x v="0"/>
    <x v="1"/>
    <s v="No"/>
    <x v="104"/>
    <n v="540552"/>
  </r>
  <r>
    <s v="Akinkuolie, Sarah"/>
    <n v="10196"/>
    <x v="1"/>
    <s v="married"/>
    <x v="1"/>
    <s v="Future Start"/>
    <x v="0"/>
    <x v="1"/>
    <s v="No"/>
    <x v="105"/>
    <n v="779460"/>
  </r>
  <r>
    <s v="Anderson, Carol"/>
    <n v="10069"/>
    <x v="0"/>
    <s v="Divorced"/>
    <x v="1"/>
    <s v="Future Start"/>
    <x v="0"/>
    <x v="1"/>
    <s v="No"/>
    <x v="106"/>
    <n v="609900"/>
  </r>
  <r>
    <s v="Baczenski, Rachael"/>
    <n v="10252"/>
    <x v="1"/>
    <s v="married"/>
    <x v="1"/>
    <s v="Future Start"/>
    <x v="0"/>
    <x v="1"/>
    <s v="Yes"/>
    <x v="107"/>
    <n v="656040"/>
  </r>
  <r>
    <s v="Barbara, Thomas"/>
    <n v="10242"/>
    <x v="1"/>
    <s v="married"/>
    <x v="0"/>
    <s v="Future Start"/>
    <x v="0"/>
    <x v="1"/>
    <s v="Yes"/>
    <x v="108"/>
    <n v="566532"/>
  </r>
  <r>
    <s v="Barton, Nader"/>
    <n v="10066"/>
    <x v="0"/>
    <s v="Divorced"/>
    <x v="0"/>
    <s v="Future Start"/>
    <x v="0"/>
    <x v="1"/>
    <s v="No"/>
    <x v="109"/>
    <n v="630060"/>
  </r>
  <r>
    <s v="Bondwell, Betsy"/>
    <n v="10267"/>
    <x v="0"/>
    <s v="single"/>
    <x v="1"/>
    <s v="Future Start"/>
    <x v="0"/>
    <x v="1"/>
    <s v="No"/>
    <x v="41"/>
    <n v="693780"/>
  </r>
  <r>
    <s v="Bozzi, Charles"/>
    <n v="10175"/>
    <x v="0"/>
    <s v="single"/>
    <x v="0"/>
    <s v="Future Start"/>
    <x v="0"/>
    <x v="1"/>
    <s v="No"/>
    <x v="110"/>
    <n v="891744"/>
  </r>
  <r>
    <s v="Brill, Donna"/>
    <n v="10177"/>
    <x v="1"/>
    <s v="married"/>
    <x v="1"/>
    <s v="Future Start"/>
    <x v="0"/>
    <x v="1"/>
    <s v="No"/>
    <x v="111"/>
    <n v="641904"/>
  </r>
  <r>
    <s v="Chivukula, Enola"/>
    <n v="10240"/>
    <x v="0"/>
    <s v="single"/>
    <x v="1"/>
    <s v="Future Start"/>
    <x v="0"/>
    <x v="1"/>
    <s v="No"/>
    <x v="112"/>
    <n v="777432"/>
  </r>
  <r>
    <s v="Cloninger, Jennifer"/>
    <n v="10275"/>
    <x v="1"/>
    <s v="married"/>
    <x v="1"/>
    <s v="Future Start"/>
    <x v="0"/>
    <x v="1"/>
    <s v="No"/>
    <x v="113"/>
    <n v="768792"/>
  </r>
  <r>
    <s v="Close, Phil"/>
    <n v="10269"/>
    <x v="1"/>
    <s v="married"/>
    <x v="0"/>
    <s v="Future Start"/>
    <x v="0"/>
    <x v="1"/>
    <s v="No"/>
    <x v="114"/>
    <n v="712428"/>
  </r>
  <r>
    <s v="DeGweck,  James"/>
    <n v="10070"/>
    <x v="1"/>
    <s v="married"/>
    <x v="0"/>
    <s v="Future Start"/>
    <x v="0"/>
    <x v="1"/>
    <s v="No"/>
    <x v="115"/>
    <n v="668664"/>
  </r>
  <r>
    <s v="Demita, Carla"/>
    <n v="10100"/>
    <x v="0"/>
    <s v="Widowed"/>
    <x v="1"/>
    <s v="Future Start"/>
    <x v="0"/>
    <x v="1"/>
    <s v="No"/>
    <x v="116"/>
    <n v="699300"/>
  </r>
  <r>
    <s v="Eaton, Marianne"/>
    <n v="10064"/>
    <x v="1"/>
    <s v="married"/>
    <x v="1"/>
    <s v="Future Start"/>
    <x v="0"/>
    <x v="1"/>
    <s v="No"/>
    <x v="117"/>
    <n v="720840"/>
  </r>
  <r>
    <s v="Ferguson, Susan"/>
    <n v="10189"/>
    <x v="1"/>
    <s v="married"/>
    <x v="1"/>
    <s v="Future Start"/>
    <x v="0"/>
    <x v="1"/>
    <s v="No"/>
    <x v="118"/>
    <n v="692976"/>
  </r>
  <r>
    <s v="Fitzpatrick, Michael  J"/>
    <n v="10093"/>
    <x v="0"/>
    <s v="single"/>
    <x v="0"/>
    <s v="Future Start"/>
    <x v="0"/>
    <x v="1"/>
    <s v="No"/>
    <x v="119"/>
    <n v="871308"/>
  </r>
  <r>
    <s v="Foreman, Tanya"/>
    <n v="10163"/>
    <x v="1"/>
    <s v="married"/>
    <x v="1"/>
    <s v="Future Start"/>
    <x v="0"/>
    <x v="1"/>
    <s v="No"/>
    <x v="120"/>
    <n v="671580"/>
  </r>
  <r>
    <s v="Gerke, Melisa"/>
    <n v="10122"/>
    <x v="0"/>
    <s v="Divorced"/>
    <x v="1"/>
    <s v="Future Start"/>
    <x v="0"/>
    <x v="1"/>
    <s v="Yes"/>
    <x v="121"/>
    <n v="618060"/>
  </r>
  <r>
    <s v="Gilles, Alex"/>
    <n v="10283"/>
    <x v="1"/>
    <s v="married"/>
    <x v="0"/>
    <s v="Future Start"/>
    <x v="0"/>
    <x v="2"/>
    <s v="Yes"/>
    <x v="122"/>
    <n v="659196"/>
  </r>
  <r>
    <s v="Gonzalez, Juan"/>
    <n v="10300"/>
    <x v="1"/>
    <s v="married"/>
    <x v="0"/>
    <s v="Future Start"/>
    <x v="0"/>
    <x v="3"/>
    <s v="Yes"/>
    <x v="123"/>
    <n v="826776"/>
  </r>
  <r>
    <s v="Gross, Paula"/>
    <n v="10059"/>
    <x v="0"/>
    <s v="Divorced"/>
    <x v="1"/>
    <s v="Future Start"/>
    <x v="0"/>
    <x v="1"/>
    <s v="No"/>
    <x v="124"/>
    <n v="765756"/>
  </r>
  <r>
    <s v="Harrington, Christie"/>
    <n v="10097"/>
    <x v="0"/>
    <s v="single"/>
    <x v="1"/>
    <s v="Future Start"/>
    <x v="0"/>
    <x v="1"/>
    <s v="No"/>
    <x v="125"/>
    <n v="626124"/>
  </r>
  <r>
    <s v="Hendrickson, Trina"/>
    <n v="10075"/>
    <x v="0"/>
    <s v="single"/>
    <x v="1"/>
    <s v="Future Start"/>
    <x v="0"/>
    <x v="1"/>
    <s v="No"/>
    <x v="126"/>
    <n v="817188"/>
  </r>
  <r>
    <s v="Homberger, Adrienne  J"/>
    <n v="10195"/>
    <x v="1"/>
    <s v="married"/>
    <x v="1"/>
    <s v="Future Start"/>
    <x v="0"/>
    <x v="1"/>
    <s v="No"/>
    <x v="127"/>
    <n v="761736"/>
  </r>
  <r>
    <s v="Huynh, Ming"/>
    <n v="10160"/>
    <x v="0"/>
    <s v="Divorced"/>
    <x v="1"/>
    <s v="Future Start"/>
    <x v="0"/>
    <x v="1"/>
    <s v="No"/>
    <x v="128"/>
    <n v="818184"/>
  </r>
  <r>
    <s v="Immediato, Walter"/>
    <n v="10289"/>
    <x v="1"/>
    <s v="married"/>
    <x v="0"/>
    <s v="Future Start"/>
    <x v="0"/>
    <x v="2"/>
    <s v="No"/>
    <x v="129"/>
    <n v="996984"/>
  </r>
  <r>
    <s v="Johnson, George"/>
    <n v="10034"/>
    <x v="1"/>
    <s v="married"/>
    <x v="0"/>
    <s v="Future Start"/>
    <x v="0"/>
    <x v="0"/>
    <s v="No"/>
    <x v="130"/>
    <n v="562044"/>
  </r>
  <r>
    <s v="Jung, Judy"/>
    <n v="10138"/>
    <x v="1"/>
    <s v="married"/>
    <x v="1"/>
    <s v="Future Start"/>
    <x v="0"/>
    <x v="1"/>
    <s v="No"/>
    <x v="131"/>
    <n v="733848"/>
  </r>
  <r>
    <s v="Kinsella, Kathleen"/>
    <n v="10166"/>
    <x v="1"/>
    <s v="married"/>
    <x v="1"/>
    <s v="Future Start"/>
    <x v="0"/>
    <x v="1"/>
    <s v="No"/>
    <x v="132"/>
    <n v="648060"/>
  </r>
  <r>
    <s v="Kirill, Alexandra"/>
    <n v="10170"/>
    <x v="1"/>
    <s v="married"/>
    <x v="1"/>
    <s v="Future Start"/>
    <x v="0"/>
    <x v="1"/>
    <s v="No"/>
    <x v="133"/>
    <n v="545196"/>
  </r>
  <r>
    <s v="Langford, Lindsey"/>
    <n v="10106"/>
    <x v="0"/>
    <s v="Divorced"/>
    <x v="1"/>
    <s v="Future Start"/>
    <x v="0"/>
    <x v="1"/>
    <s v="No"/>
    <x v="134"/>
    <n v="792888"/>
  </r>
  <r>
    <s v="Latif, Mohammed"/>
    <n v="10249"/>
    <x v="1"/>
    <s v="married"/>
    <x v="0"/>
    <s v="Future Start"/>
    <x v="0"/>
    <x v="1"/>
    <s v="No"/>
    <x v="135"/>
    <n v="743544"/>
  </r>
  <r>
    <s v="Leach, Dallas"/>
    <n v="10087"/>
    <x v="0"/>
    <s v="single"/>
    <x v="1"/>
    <s v="Future Start"/>
    <x v="0"/>
    <x v="1"/>
    <s v="No"/>
    <x v="136"/>
    <n v="764112"/>
  </r>
  <r>
    <s v="Linares, Marilyn"/>
    <n v="10186"/>
    <x v="1"/>
    <s v="married"/>
    <x v="1"/>
    <s v="Future Start"/>
    <x v="0"/>
    <x v="1"/>
    <s v="No"/>
    <x v="137"/>
    <n v="631488"/>
  </r>
  <r>
    <s v="Lundy, Susan"/>
    <n v="10096"/>
    <x v="0"/>
    <s v="seperated"/>
    <x v="1"/>
    <s v="Future Start"/>
    <x v="0"/>
    <x v="1"/>
    <s v="No"/>
    <x v="138"/>
    <n v="806844"/>
  </r>
  <r>
    <s v="Lynch, Lindsay"/>
    <n v="10004"/>
    <x v="0"/>
    <s v="single"/>
    <x v="1"/>
    <s v="Future Start"/>
    <x v="0"/>
    <x v="0"/>
    <s v="Yes"/>
    <x v="139"/>
    <n v="569208"/>
  </r>
  <r>
    <s v="MacLennan, Samuel"/>
    <n v="10191"/>
    <x v="0"/>
    <s v="seperated"/>
    <x v="0"/>
    <s v="Future Start"/>
    <x v="0"/>
    <x v="1"/>
    <s v="No"/>
    <x v="140"/>
    <n v="633456"/>
  </r>
  <r>
    <s v="Mancuso, Karen"/>
    <n v="10073"/>
    <x v="1"/>
    <s v="married"/>
    <x v="1"/>
    <s v="Future Start"/>
    <x v="0"/>
    <x v="1"/>
    <s v="No"/>
    <x v="141"/>
    <n v="820884"/>
  </r>
  <r>
    <s v="Meads, Elizabeth"/>
    <n v="10128"/>
    <x v="0"/>
    <s v="single"/>
    <x v="1"/>
    <s v="Future Start"/>
    <x v="0"/>
    <x v="1"/>
    <s v="Yes"/>
    <x v="142"/>
    <n v="751908"/>
  </r>
  <r>
    <s v="Miller, Ned"/>
    <n v="10298"/>
    <x v="0"/>
    <s v="single"/>
    <x v="0"/>
    <s v="Future Start"/>
    <x v="0"/>
    <x v="3"/>
    <s v="No"/>
    <x v="143"/>
    <n v="669600"/>
  </r>
  <r>
    <s v="Ndzi, Colombui"/>
    <n v="10215"/>
    <x v="0"/>
    <s v="single"/>
    <x v="0"/>
    <s v="Future Start"/>
    <x v="0"/>
    <x v="1"/>
    <s v="Yes"/>
    <x v="144"/>
    <n v="605640"/>
  </r>
  <r>
    <s v="Ndzi, Horia"/>
    <n v="10185"/>
    <x v="1"/>
    <s v="married"/>
    <x v="0"/>
    <s v="Future Start"/>
    <x v="0"/>
    <x v="1"/>
    <s v="No"/>
    <x v="145"/>
    <n v="559968"/>
  </r>
  <r>
    <s v="Oliver, Brooke"/>
    <n v="10078"/>
    <x v="1"/>
    <s v="married"/>
    <x v="1"/>
    <s v="Future Start"/>
    <x v="0"/>
    <x v="1"/>
    <s v="No"/>
    <x v="146"/>
    <n v="863592"/>
  </r>
  <r>
    <s v="Panjwani, Nina"/>
    <n v="10148"/>
    <x v="1"/>
    <s v="married"/>
    <x v="1"/>
    <s v="Future Start"/>
    <x v="0"/>
    <x v="1"/>
    <s v="No"/>
    <x v="147"/>
    <n v="762180"/>
  </r>
  <r>
    <s v="Smith, Martin"/>
    <n v="10286"/>
    <x v="0"/>
    <s v="single"/>
    <x v="0"/>
    <s v="Future Start"/>
    <x v="0"/>
    <x v="2"/>
    <s v="No"/>
    <x v="148"/>
    <n v="642768"/>
  </r>
  <r>
    <s v="Pelletier, Ermine"/>
    <n v="10297"/>
    <x v="1"/>
    <s v="married"/>
    <x v="1"/>
    <s v="Future Start"/>
    <x v="0"/>
    <x v="2"/>
    <s v="No"/>
    <x v="149"/>
    <n v="723240"/>
  </r>
  <r>
    <s v="Perry, Shakira"/>
    <n v="10171"/>
    <x v="0"/>
    <s v="single"/>
    <x v="1"/>
    <s v="Future Start"/>
    <x v="0"/>
    <x v="1"/>
    <s v="No"/>
    <x v="150"/>
    <n v="551976"/>
  </r>
  <r>
    <s v="Peters, Lauren"/>
    <n v="10032"/>
    <x v="1"/>
    <s v="married"/>
    <x v="1"/>
    <s v="Future Start"/>
    <x v="0"/>
    <x v="0"/>
    <s v="No"/>
    <x v="151"/>
    <n v="695448"/>
  </r>
  <r>
    <s v="Peterson, Ebonee"/>
    <n v="10130"/>
    <x v="1"/>
    <s v="married"/>
    <x v="1"/>
    <s v="Future Start"/>
    <x v="0"/>
    <x v="1"/>
    <s v="No"/>
    <x v="152"/>
    <n v="896028"/>
  </r>
  <r>
    <s v="Pham, Hong"/>
    <n v="10050"/>
    <x v="1"/>
    <s v="married"/>
    <x v="0"/>
    <s v="Future Start"/>
    <x v="0"/>
    <x v="1"/>
    <s v="No"/>
    <x v="153"/>
    <n v="776688"/>
  </r>
  <r>
    <s v="Power, Morissa"/>
    <n v="10187"/>
    <x v="0"/>
    <s v="Divorced"/>
    <x v="1"/>
    <s v="Future Start"/>
    <x v="0"/>
    <x v="1"/>
    <s v="No"/>
    <x v="154"/>
    <n v="561588"/>
  </r>
  <r>
    <s v="Purinton, Janine"/>
    <n v="10262"/>
    <x v="0"/>
    <s v="Divorced"/>
    <x v="1"/>
    <s v="Future Start"/>
    <x v="0"/>
    <x v="1"/>
    <s v="No"/>
    <x v="155"/>
    <n v="557160"/>
  </r>
  <r>
    <s v="Rarrick, Quinn"/>
    <n v="10152"/>
    <x v="0"/>
    <s v="Divorced"/>
    <x v="0"/>
    <s v="Future Start"/>
    <x v="0"/>
    <x v="1"/>
    <s v="No"/>
    <x v="156"/>
    <n v="740748"/>
  </r>
  <r>
    <s v="Rhoads, Thomas"/>
    <n v="10058"/>
    <x v="0"/>
    <s v="Divorced"/>
    <x v="0"/>
    <s v="Future Start"/>
    <x v="0"/>
    <x v="1"/>
    <s v="No"/>
    <x v="157"/>
    <n v="541380"/>
  </r>
  <r>
    <s v="Roberson, May"/>
    <n v="10230"/>
    <x v="0"/>
    <s v="Divorced"/>
    <x v="1"/>
    <s v="Future Start"/>
    <x v="0"/>
    <x v="1"/>
    <s v="No"/>
    <x v="158"/>
    <n v="779652"/>
  </r>
  <r>
    <s v="Robertson, Peter"/>
    <n v="10224"/>
    <x v="1"/>
    <s v="married"/>
    <x v="0"/>
    <s v="Future Start"/>
    <x v="0"/>
    <x v="1"/>
    <s v="No"/>
    <x v="159"/>
    <n v="666936"/>
  </r>
  <r>
    <s v="Robinson, Alain"/>
    <n v="10047"/>
    <x v="1"/>
    <s v="married"/>
    <x v="0"/>
    <s v="Future Start"/>
    <x v="0"/>
    <x v="1"/>
    <s v="No"/>
    <x v="160"/>
    <n v="605136"/>
  </r>
  <r>
    <s v="Rossetti, Bruno"/>
    <n v="10065"/>
    <x v="0"/>
    <s v="single"/>
    <x v="0"/>
    <s v="Future Start"/>
    <x v="0"/>
    <x v="1"/>
    <s v="No"/>
    <x v="161"/>
    <n v="638160"/>
  </r>
  <r>
    <s v="Sadki, Nore"/>
    <n v="10260"/>
    <x v="0"/>
    <s v="single"/>
    <x v="0"/>
    <s v="Future Start"/>
    <x v="0"/>
    <x v="1"/>
    <s v="No"/>
    <x v="162"/>
    <n v="557136"/>
  </r>
  <r>
    <s v="Sloan, Constance"/>
    <n v="10095"/>
    <x v="0"/>
    <s v="single"/>
    <x v="1"/>
    <s v="Future Start"/>
    <x v="0"/>
    <x v="1"/>
    <s v="No"/>
    <x v="163"/>
    <n v="766536"/>
  </r>
  <r>
    <s v="Squatrito, Kristen"/>
    <n v="10030"/>
    <x v="0"/>
    <s v="Divorced"/>
    <x v="1"/>
    <s v="Future Start"/>
    <x v="0"/>
    <x v="0"/>
    <s v="No"/>
    <x v="164"/>
    <n v="749100"/>
  </r>
  <r>
    <s v="Tavares, Desiree"/>
    <n v="10221"/>
    <x v="1"/>
    <s v="married"/>
    <x v="1"/>
    <s v="Future Start"/>
    <x v="0"/>
    <x v="1"/>
    <s v="Yes"/>
    <x v="165"/>
    <n v="729048"/>
  </r>
  <r>
    <s v="Tejeda, Lenora"/>
    <n v="10146"/>
    <x v="1"/>
    <s v="married"/>
    <x v="1"/>
    <s v="Future Start"/>
    <x v="0"/>
    <x v="1"/>
    <s v="No"/>
    <x v="166"/>
    <n v="866424"/>
  </r>
  <r>
    <s v="Theamstern, Sophia"/>
    <n v="10141"/>
    <x v="0"/>
    <s v="single"/>
    <x v="1"/>
    <s v="Future Start"/>
    <x v="0"/>
    <x v="1"/>
    <s v="No"/>
    <x v="167"/>
    <n v="580956"/>
  </r>
  <r>
    <s v="Thibaud, Kenneth"/>
    <n v="10268"/>
    <x v="0"/>
    <s v="seperated"/>
    <x v="0"/>
    <s v="Future Start"/>
    <x v="0"/>
    <x v="1"/>
    <s v="No"/>
    <x v="168"/>
    <n v="806112"/>
  </r>
  <r>
    <s v="Trzeciak, Cybil"/>
    <n v="10270"/>
    <x v="0"/>
    <s v="single"/>
    <x v="1"/>
    <s v="Future Start"/>
    <x v="0"/>
    <x v="1"/>
    <s v="No"/>
    <x v="169"/>
    <n v="897756"/>
  </r>
  <r>
    <s v="Veera, Abdellah"/>
    <n v="10014"/>
    <x v="0"/>
    <s v="Divorced"/>
    <x v="0"/>
    <s v="Future Start"/>
    <x v="0"/>
    <x v="0"/>
    <s v="No"/>
    <x v="170"/>
    <n v="702276"/>
  </r>
  <r>
    <s v="Wallace, Courtney  E"/>
    <n v="10274"/>
    <x v="1"/>
    <s v="married"/>
    <x v="1"/>
    <s v="Future Start"/>
    <x v="0"/>
    <x v="1"/>
    <s v="Yes"/>
    <x v="171"/>
    <n v="966144"/>
  </r>
  <r>
    <s v="Wallace, Theresa"/>
    <n v="10293"/>
    <x v="0"/>
    <s v="single"/>
    <x v="1"/>
    <s v="Future Start"/>
    <x v="0"/>
    <x v="2"/>
    <s v="No"/>
    <x v="172"/>
    <n v="603288"/>
  </r>
  <r>
    <s v="Whittier, Scott"/>
    <n v="10072"/>
    <x v="0"/>
    <s v="single"/>
    <x v="0"/>
    <s v="Future Start"/>
    <x v="0"/>
    <x v="1"/>
    <s v="No"/>
    <x v="173"/>
    <n v="700452"/>
  </r>
  <r>
    <s v="Wilber, Barry"/>
    <n v="10048"/>
    <x v="1"/>
    <s v="married"/>
    <x v="0"/>
    <s v="Future Start"/>
    <x v="0"/>
    <x v="1"/>
    <s v="No"/>
    <x v="174"/>
    <n v="661680"/>
  </r>
  <r>
    <s v="Wilkes, Annie"/>
    <n v="10204"/>
    <x v="0"/>
    <s v="Divorced"/>
    <x v="1"/>
    <s v="Future Start"/>
    <x v="0"/>
    <x v="1"/>
    <s v="No"/>
    <x v="175"/>
    <n v="696744"/>
  </r>
  <r>
    <s v="Williams, Jacquelyn"/>
    <n v="10264"/>
    <x v="0"/>
    <s v="single"/>
    <x v="1"/>
    <s v="Future Start"/>
    <x v="0"/>
    <x v="1"/>
    <s v="Yes"/>
    <x v="176"/>
    <n v="716736"/>
  </r>
  <r>
    <s v="Winthrop, Jordan"/>
    <n v="10033"/>
    <x v="0"/>
    <s v="single"/>
    <x v="0"/>
    <s v="Future Start"/>
    <x v="0"/>
    <x v="0"/>
    <s v="No"/>
    <x v="177"/>
    <n v="846084"/>
  </r>
  <r>
    <s v="Ybarra, Catherine"/>
    <n v="10301"/>
    <x v="0"/>
    <s v="single"/>
    <x v="1"/>
    <s v="Future Start"/>
    <x v="0"/>
    <x v="3"/>
    <s v="No"/>
    <x v="178"/>
    <n v="582156"/>
  </r>
  <r>
    <s v="Bachiochi, Linda"/>
    <n v="10114"/>
    <x v="0"/>
    <s v="single"/>
    <x v="1"/>
    <s v="Resigned"/>
    <x v="0"/>
    <x v="1"/>
    <s v="Yes"/>
    <x v="179"/>
    <n v="574044"/>
  </r>
  <r>
    <s v="Bates, Norman"/>
    <n v="10061"/>
    <x v="0"/>
    <s v="single"/>
    <x v="0"/>
    <s v="Terminated"/>
    <x v="0"/>
    <x v="1"/>
    <s v="No"/>
    <x v="180"/>
    <n v="694008"/>
  </r>
  <r>
    <s v="Beak, Kimberly"/>
    <n v="10023"/>
    <x v="1"/>
    <s v="married"/>
    <x v="1"/>
    <s v="on leave"/>
    <x v="0"/>
    <x v="0"/>
    <s v="No"/>
    <x v="181"/>
    <n v="841572"/>
  </r>
  <r>
    <s v="Becker, Scott"/>
    <n v="10277"/>
    <x v="0"/>
    <s v="single"/>
    <x v="0"/>
    <s v="Resigned"/>
    <x v="0"/>
    <x v="1"/>
    <s v="No"/>
    <x v="182"/>
    <n v="639000"/>
  </r>
  <r>
    <s v="Bugali, Josephine"/>
    <n v="10203"/>
    <x v="0"/>
    <s v="Widowed"/>
    <x v="1"/>
    <s v="Resigned"/>
    <x v="0"/>
    <x v="1"/>
    <s v="Yes"/>
    <x v="183"/>
    <n v="772500"/>
  </r>
  <r>
    <s v="Clukey, Elijian"/>
    <n v="10029"/>
    <x v="1"/>
    <s v="married"/>
    <x v="0"/>
    <s v="on leave"/>
    <x v="0"/>
    <x v="0"/>
    <s v="No"/>
    <x v="184"/>
    <n v="604476"/>
  </r>
  <r>
    <s v="Cole, Spencer"/>
    <n v="10292"/>
    <x v="0"/>
    <s v="single"/>
    <x v="0"/>
    <s v="Terminated"/>
    <x v="0"/>
    <x v="2"/>
    <s v="No"/>
    <x v="185"/>
    <n v="709728"/>
  </r>
  <r>
    <s v="Crimmings,   Jean"/>
    <n v="10132"/>
    <x v="0"/>
    <s v="single"/>
    <x v="1"/>
    <s v="on leave"/>
    <x v="0"/>
    <x v="1"/>
    <s v="No"/>
    <x v="186"/>
    <n v="673788"/>
  </r>
  <r>
    <s v="Estremera, Miguel"/>
    <n v="10280"/>
    <x v="0"/>
    <s v="single"/>
    <x v="0"/>
    <s v="Terminated"/>
    <x v="0"/>
    <x v="2"/>
    <s v="No"/>
    <x v="187"/>
    <n v="724080"/>
  </r>
  <r>
    <s v="Evensen, April"/>
    <n v="10296"/>
    <x v="0"/>
    <s v="single"/>
    <x v="1"/>
    <s v="Terminated"/>
    <x v="0"/>
    <x v="2"/>
    <s v="No"/>
    <x v="188"/>
    <n v="709488"/>
  </r>
  <r>
    <s v="Good, Susan"/>
    <n v="10237"/>
    <x v="1"/>
    <s v="married"/>
    <x v="1"/>
    <s v="Resigned"/>
    <x v="0"/>
    <x v="1"/>
    <s v="No"/>
    <x v="189"/>
    <n v="801900"/>
  </r>
  <r>
    <s v="Gosciminski, Phylicia"/>
    <n v="10218"/>
    <x v="0"/>
    <s v="Widowed"/>
    <x v="1"/>
    <s v="Resigned"/>
    <x v="0"/>
    <x v="1"/>
    <s v="No"/>
    <x v="190"/>
    <n v="793788"/>
  </r>
  <r>
    <s v="Goyal, Roxana"/>
    <n v="10256"/>
    <x v="1"/>
    <s v="married"/>
    <x v="1"/>
    <s v="Resigned"/>
    <x v="0"/>
    <x v="1"/>
    <s v="No"/>
    <x v="191"/>
    <n v="591072"/>
  </r>
  <r>
    <s v="Hunts, Julissa"/>
    <n v="10201"/>
    <x v="0"/>
    <s v="single"/>
    <x v="1"/>
    <s v="on leave"/>
    <x v="0"/>
    <x v="1"/>
    <s v="No"/>
    <x v="192"/>
    <n v="832080"/>
  </r>
  <r>
    <s v="Hutter, Rosalie"/>
    <n v="10214"/>
    <x v="0"/>
    <s v="Widowed"/>
    <x v="1"/>
    <s v="on leave"/>
    <x v="0"/>
    <x v="1"/>
    <s v="No"/>
    <x v="193"/>
    <n v="779940"/>
  </r>
  <r>
    <s v="Landa, Hans"/>
    <n v="10092"/>
    <x v="1"/>
    <s v="married"/>
    <x v="0"/>
    <s v="Terminated"/>
    <x v="0"/>
    <x v="1"/>
    <s v="No"/>
    <x v="194"/>
    <n v="993096"/>
  </r>
  <r>
    <s v="Linden, Mathew"/>
    <n v="10137"/>
    <x v="1"/>
    <s v="married"/>
    <x v="0"/>
    <s v="Resigned"/>
    <x v="0"/>
    <x v="1"/>
    <s v="No"/>
    <x v="195"/>
    <n v="761400"/>
  </r>
  <r>
    <s v="Lydon, Allison"/>
    <n v="10057"/>
    <x v="1"/>
    <s v="married"/>
    <x v="1"/>
    <s v="Resigned"/>
    <x v="0"/>
    <x v="1"/>
    <s v="No"/>
    <x v="196"/>
    <n v="624684"/>
  </r>
  <r>
    <s v="Manchester, Robyn"/>
    <n v="10077"/>
    <x v="1"/>
    <s v="married"/>
    <x v="1"/>
    <s v="on leave"/>
    <x v="0"/>
    <x v="1"/>
    <s v="No"/>
    <x v="197"/>
    <n v="748620"/>
  </r>
  <r>
    <s v="Moran, Patrick"/>
    <n v="10223"/>
    <x v="0"/>
    <s v="single"/>
    <x v="0"/>
    <s v="Resigned"/>
    <x v="0"/>
    <x v="1"/>
    <s v="Yes"/>
    <x v="198"/>
    <n v="865272"/>
  </r>
  <r>
    <s v="Newman, Richard"/>
    <n v="10063"/>
    <x v="1"/>
    <s v="married"/>
    <x v="0"/>
    <s v="Resigned"/>
    <x v="0"/>
    <x v="1"/>
    <s v="No"/>
    <x v="199"/>
    <n v="581940"/>
  </r>
  <r>
    <s v="O'hare, Lynn"/>
    <n v="10303"/>
    <x v="0"/>
    <s v="single"/>
    <x v="1"/>
    <s v="Terminated"/>
    <x v="0"/>
    <x v="3"/>
    <s v="No"/>
    <x v="200"/>
    <n v="632088"/>
  </r>
  <r>
    <s v="Robinson, Cherly"/>
    <n v="10285"/>
    <x v="1"/>
    <s v="married"/>
    <x v="1"/>
    <s v="Terminated"/>
    <x v="0"/>
    <x v="2"/>
    <s v="No"/>
    <x v="201"/>
    <n v="737064"/>
  </r>
  <r>
    <s v="Saar-Beckles, Melinda"/>
    <n v="10295"/>
    <x v="0"/>
    <s v="single"/>
    <x v="1"/>
    <s v="on leave"/>
    <x v="0"/>
    <x v="2"/>
    <s v="Yes"/>
    <x v="202"/>
    <n v="573000"/>
  </r>
  <r>
    <s v="Sewkumar, Nori"/>
    <n v="10071"/>
    <x v="0"/>
    <s v="single"/>
    <x v="1"/>
    <s v="Resigned"/>
    <x v="0"/>
    <x v="1"/>
    <s v="No"/>
    <x v="203"/>
    <n v="611076"/>
  </r>
  <r>
    <s v="Volk, Colleen"/>
    <n v="10022"/>
    <x v="1"/>
    <s v="married"/>
    <x v="1"/>
    <s v="Terminated"/>
    <x v="0"/>
    <x v="0"/>
    <s v="No"/>
    <x v="204"/>
    <n v="597276"/>
  </r>
  <r>
    <s v="Von Massenbach, Anna"/>
    <n v="10183"/>
    <x v="0"/>
    <s v="single"/>
    <x v="1"/>
    <s v="on leave"/>
    <x v="0"/>
    <x v="1"/>
    <s v="No"/>
    <x v="205"/>
    <n v="744816"/>
  </r>
  <r>
    <s v="Ait Sidi, Karthikeyan"/>
    <n v="10084"/>
    <x v="1"/>
    <s v="married"/>
    <x v="0"/>
    <s v="Future Start"/>
    <x v="1"/>
    <x v="1"/>
    <s v="No"/>
    <x v="206"/>
    <n v="1253244"/>
  </r>
  <r>
    <s v="Becker, Renee"/>
    <n v="10245"/>
    <x v="0"/>
    <s v="single"/>
    <x v="1"/>
    <s v="Terminated"/>
    <x v="1"/>
    <x v="1"/>
    <s v="No"/>
    <x v="207"/>
    <n v="1320000"/>
  </r>
  <r>
    <s v="Booth, Frank"/>
    <n v="10199"/>
    <x v="0"/>
    <s v="single"/>
    <x v="0"/>
    <s v="Terminated"/>
    <x v="1"/>
    <x v="1"/>
    <s v="No"/>
    <x v="208"/>
    <n v="1243356"/>
  </r>
  <r>
    <s v="Bunbury, Jessica"/>
    <n v="10188"/>
    <x v="1"/>
    <s v="married"/>
    <x v="1"/>
    <s v="Future Start"/>
    <x v="2"/>
    <x v="1"/>
    <s v="No"/>
    <x v="209"/>
    <n v="891912"/>
  </r>
  <r>
    <s v="Carr, Claudia  N"/>
    <n v="10082"/>
    <x v="0"/>
    <s v="single"/>
    <x v="1"/>
    <s v="on leave"/>
    <x v="1"/>
    <x v="1"/>
    <s v="No"/>
    <x v="210"/>
    <n v="1200372"/>
  </r>
  <r>
    <s v="Daniele, Ann"/>
    <n v="10212"/>
    <x v="1"/>
    <s v="married"/>
    <x v="1"/>
    <s v="Resigned"/>
    <x v="1"/>
    <x v="1"/>
    <s v="No"/>
    <x v="211"/>
    <n v="1020336"/>
  </r>
  <r>
    <s v="Exantus, Susan"/>
    <n v="10290"/>
    <x v="1"/>
    <s v="married"/>
    <x v="1"/>
    <s v="Terminated"/>
    <x v="3"/>
    <x v="2"/>
    <s v="No"/>
    <x v="212"/>
    <n v="1191360"/>
  </r>
  <r>
    <s v="Gill, Whitney"/>
    <n v="10142"/>
    <x v="0"/>
    <s v="seperated"/>
    <x v="1"/>
    <s v="Terminated"/>
    <x v="2"/>
    <x v="1"/>
    <s v="No"/>
    <x v="213"/>
    <n v="712440"/>
  </r>
  <r>
    <s v="Goble, Taisha"/>
    <n v="10246"/>
    <x v="0"/>
    <s v="single"/>
    <x v="1"/>
    <s v="Terminated"/>
    <x v="1"/>
    <x v="1"/>
    <s v="No"/>
    <x v="214"/>
    <n v="1377600"/>
  </r>
  <r>
    <s v="Guilianno, Mike"/>
    <n v="10109"/>
    <x v="0"/>
    <s v="single"/>
    <x v="0"/>
    <s v="Future Start"/>
    <x v="2"/>
    <x v="1"/>
    <s v="No"/>
    <x v="215"/>
    <n v="860484"/>
  </r>
  <r>
    <s v="Johnson, Noelle"/>
    <n v="10156"/>
    <x v="1"/>
    <s v="married"/>
    <x v="1"/>
    <s v="Resigned"/>
    <x v="1"/>
    <x v="1"/>
    <s v="No"/>
    <x v="216"/>
    <n v="1268400"/>
  </r>
  <r>
    <s v="Kampew, Donysha"/>
    <n v="10244"/>
    <x v="0"/>
    <s v="single"/>
    <x v="1"/>
    <s v="Future Start"/>
    <x v="2"/>
    <x v="1"/>
    <s v="No"/>
    <x v="217"/>
    <n v="827988"/>
  </r>
  <r>
    <s v="Lajiri,  Jyoti"/>
    <n v="10113"/>
    <x v="1"/>
    <s v="married"/>
    <x v="0"/>
    <s v="Resigned"/>
    <x v="1"/>
    <x v="1"/>
    <s v="No"/>
    <x v="218"/>
    <n v="1118472"/>
  </r>
  <r>
    <s v="McKinzie, Jac"/>
    <n v="10202"/>
    <x v="1"/>
    <s v="married"/>
    <x v="0"/>
    <s v="on leave"/>
    <x v="2"/>
    <x v="1"/>
    <s v="No"/>
    <x v="219"/>
    <n v="759492"/>
  </r>
  <r>
    <s v="Patronick, Lucas"/>
    <n v="10005"/>
    <x v="0"/>
    <s v="single"/>
    <x v="0"/>
    <s v="Future Start"/>
    <x v="3"/>
    <x v="0"/>
    <s v="Yes"/>
    <x v="220"/>
    <n v="1307844"/>
  </r>
  <r>
    <s v="Pearson, Randall"/>
    <n v="10259"/>
    <x v="1"/>
    <s v="married"/>
    <x v="0"/>
    <s v="Future Start"/>
    <x v="1"/>
    <x v="1"/>
    <s v="No"/>
    <x v="221"/>
    <n v="1117116"/>
  </r>
  <r>
    <s v="Quinn, Sean"/>
    <n v="10131"/>
    <x v="1"/>
    <s v="married"/>
    <x v="0"/>
    <s v="Future Start"/>
    <x v="4"/>
    <x v="1"/>
    <s v="Yes"/>
    <x v="222"/>
    <n v="1000356"/>
  </r>
  <r>
    <s v="Roehrich, Bianca"/>
    <n v="10149"/>
    <x v="0"/>
    <s v="single"/>
    <x v="1"/>
    <s v="Future Start"/>
    <x v="1"/>
    <x v="1"/>
    <s v="No"/>
    <x v="223"/>
    <n v="1440000"/>
  </r>
  <r>
    <s v="Ruiz, Ricardo"/>
    <n v="10222"/>
    <x v="0"/>
    <s v="Divorced"/>
    <x v="0"/>
    <s v="Future Start"/>
    <x v="1"/>
    <x v="1"/>
    <s v="Yes"/>
    <x v="224"/>
    <n v="1787988"/>
  </r>
  <r>
    <s v="Salter, Jason"/>
    <n v="10229"/>
    <x v="0"/>
    <s v="Divorced"/>
    <x v="0"/>
    <s v="Future Start"/>
    <x v="1"/>
    <x v="1"/>
    <s v="No"/>
    <x v="225"/>
    <n v="1062324"/>
  </r>
  <r>
    <s v="Smith, Leigh Ann"/>
    <n v="10153"/>
    <x v="1"/>
    <s v="married"/>
    <x v="1"/>
    <s v="Future Start"/>
    <x v="4"/>
    <x v="1"/>
    <s v="Yes"/>
    <x v="226"/>
    <n v="660000"/>
  </r>
  <r>
    <s v="Soze, Keyser"/>
    <n v="10180"/>
    <x v="1"/>
    <s v="married"/>
    <x v="0"/>
    <s v="on leave"/>
    <x v="1"/>
    <x v="1"/>
    <s v="No"/>
    <x v="227"/>
    <n v="1050780"/>
  </r>
  <r>
    <s v="Tredinnick, Neville"/>
    <n v="10044"/>
    <x v="1"/>
    <s v="married"/>
    <x v="0"/>
    <s v="Future Start"/>
    <x v="1"/>
    <x v="1"/>
    <s v="No"/>
    <x v="228"/>
    <n v="903372"/>
  </r>
  <r>
    <s v="True, Edward"/>
    <n v="10102"/>
    <x v="0"/>
    <s v="single"/>
    <x v="0"/>
    <s v="Future Start"/>
    <x v="3"/>
    <x v="1"/>
    <s v="Yes"/>
    <x v="229"/>
    <n v="1204992"/>
  </r>
  <r>
    <s v="Voldemort, Lord"/>
    <n v="10118"/>
    <x v="1"/>
    <s v="married"/>
    <x v="0"/>
    <s v="Terminated"/>
    <x v="1"/>
    <x v="1"/>
    <s v="No"/>
    <x v="230"/>
    <n v="1367988"/>
  </r>
  <r>
    <s v="Andreola, Colby"/>
    <n v="10194"/>
    <x v="0"/>
    <s v="single"/>
    <x v="1"/>
    <s v="Active"/>
    <x v="3"/>
    <x v="1"/>
    <s v="No"/>
    <x v="231"/>
    <n v="1147920"/>
  </r>
  <r>
    <s v="Bacong, Alejandro"/>
    <n v="10250"/>
    <x v="0"/>
    <s v="Divorced"/>
    <x v="0"/>
    <s v="Active"/>
    <x v="1"/>
    <x v="1"/>
    <s v="No"/>
    <x v="232"/>
    <n v="602136"/>
  </r>
  <r>
    <s v="Barbossa, Hector"/>
    <n v="10012"/>
    <x v="0"/>
    <s v="Divorced"/>
    <x v="0"/>
    <s v="Active"/>
    <x v="1"/>
    <x v="0"/>
    <s v="Yes"/>
    <x v="233"/>
    <n v="1107936"/>
  </r>
  <r>
    <s v="Boutwell, Bonalyn"/>
    <n v="10081"/>
    <x v="1"/>
    <s v="married"/>
    <x v="1"/>
    <s v="Active"/>
    <x v="4"/>
    <x v="1"/>
    <s v="Yes"/>
    <x v="234"/>
    <n v="1276404"/>
  </r>
  <r>
    <s v="Brown, Mia"/>
    <n v="10238"/>
    <x v="1"/>
    <s v="married"/>
    <x v="1"/>
    <s v="Active"/>
    <x v="4"/>
    <x v="1"/>
    <s v="Yes"/>
    <x v="235"/>
    <n v="756000"/>
  </r>
  <r>
    <s v="Cady, Max"/>
    <n v="10150"/>
    <x v="0"/>
    <s v="single"/>
    <x v="0"/>
    <s v="Active"/>
    <x v="3"/>
    <x v="1"/>
    <s v="No"/>
    <x v="236"/>
    <n v="932304"/>
  </r>
  <r>
    <s v="Carabbio, Judith"/>
    <n v="10085"/>
    <x v="0"/>
    <s v="single"/>
    <x v="1"/>
    <s v="Active"/>
    <x v="3"/>
    <x v="1"/>
    <s v="No"/>
    <x v="237"/>
    <n v="1120752"/>
  </r>
  <r>
    <s v="Carter, Michelle"/>
    <n v="10040"/>
    <x v="0"/>
    <s v="single"/>
    <x v="1"/>
    <s v="Active"/>
    <x v="2"/>
    <x v="1"/>
    <s v="No"/>
    <x v="238"/>
    <n v="862320"/>
  </r>
  <r>
    <s v="Champaigne, Brian"/>
    <n v="10108"/>
    <x v="1"/>
    <s v="married"/>
    <x v="0"/>
    <s v="Active"/>
    <x v="1"/>
    <x v="1"/>
    <s v="No"/>
    <x v="239"/>
    <n v="1331148"/>
  </r>
  <r>
    <s v="Chigurh, Anton"/>
    <n v="10200"/>
    <x v="0"/>
    <s v="single"/>
    <x v="0"/>
    <s v="Active"/>
    <x v="2"/>
    <x v="1"/>
    <s v="No"/>
    <x v="240"/>
    <n v="801696"/>
  </r>
  <r>
    <s v="Clayton, Rick"/>
    <n v="10220"/>
    <x v="0"/>
    <s v="single"/>
    <x v="0"/>
    <s v="Active"/>
    <x v="1"/>
    <x v="1"/>
    <s v="No"/>
    <x v="241"/>
    <n v="824136"/>
  </r>
  <r>
    <s v="Costello, Frank"/>
    <n v="10193"/>
    <x v="1"/>
    <s v="married"/>
    <x v="0"/>
    <s v="Active"/>
    <x v="1"/>
    <x v="1"/>
    <s v="No"/>
    <x v="242"/>
    <n v="1002624"/>
  </r>
  <r>
    <s v="Cross, Noah"/>
    <n v="10083"/>
    <x v="0"/>
    <s v="single"/>
    <x v="0"/>
    <s v="Active"/>
    <x v="1"/>
    <x v="1"/>
    <s v="No"/>
    <x v="243"/>
    <n v="1107948"/>
  </r>
  <r>
    <s v="Daneault, Lynn"/>
    <n v="10099"/>
    <x v="0"/>
    <s v="single"/>
    <x v="1"/>
    <s v="Active"/>
    <x v="2"/>
    <x v="1"/>
    <s v="No"/>
    <x v="244"/>
    <n v="788748"/>
  </r>
  <r>
    <s v="Dee, Randy"/>
    <n v="10311"/>
    <x v="1"/>
    <s v="married"/>
    <x v="0"/>
    <s v="Active"/>
    <x v="2"/>
    <x v="3"/>
    <s v="No"/>
    <x v="245"/>
    <n v="683892"/>
  </r>
  <r>
    <s v="Del Bosque, Keyla"/>
    <n v="10155"/>
    <x v="0"/>
    <s v="single"/>
    <x v="1"/>
    <s v="Active"/>
    <x v="3"/>
    <x v="1"/>
    <s v="No"/>
    <x v="246"/>
    <n v="1214388"/>
  </r>
  <r>
    <s v="Delarge, Alex"/>
    <n v="10306"/>
    <x v="0"/>
    <s v="single"/>
    <x v="0"/>
    <s v="Active"/>
    <x v="2"/>
    <x v="3"/>
    <s v="No"/>
    <x v="247"/>
    <n v="738816"/>
  </r>
  <r>
    <s v="DeVito, Tommy"/>
    <n v="10197"/>
    <x v="0"/>
    <s v="single"/>
    <x v="0"/>
    <s v="Active"/>
    <x v="1"/>
    <x v="1"/>
    <s v="No"/>
    <x v="248"/>
    <n v="1161840"/>
  </r>
  <r>
    <s v="Dietrich, Jenna"/>
    <n v="10304"/>
    <x v="0"/>
    <s v="single"/>
    <x v="1"/>
    <s v="Active"/>
    <x v="2"/>
    <x v="3"/>
    <s v="No"/>
    <x v="249"/>
    <n v="710772"/>
  </r>
  <r>
    <s v="Dolan, Linda"/>
    <n v="10133"/>
    <x v="1"/>
    <s v="married"/>
    <x v="1"/>
    <s v="Active"/>
    <x v="1"/>
    <x v="1"/>
    <s v="No"/>
    <x v="250"/>
    <n v="847452"/>
  </r>
  <r>
    <s v="Dougall, Eric"/>
    <n v="10028"/>
    <x v="0"/>
    <s v="single"/>
    <x v="0"/>
    <s v="Active"/>
    <x v="1"/>
    <x v="0"/>
    <s v="No"/>
    <x v="251"/>
    <n v="1666656"/>
  </r>
  <r>
    <s v="Driver, Elle"/>
    <n v="10006"/>
    <x v="0"/>
    <s v="single"/>
    <x v="1"/>
    <s v="Active"/>
    <x v="2"/>
    <x v="0"/>
    <s v="No"/>
    <x v="252"/>
    <n v="890892"/>
  </r>
  <r>
    <s v="Fett, Boba"/>
    <n v="10309"/>
    <x v="0"/>
    <s v="single"/>
    <x v="0"/>
    <s v="Active"/>
    <x v="1"/>
    <x v="3"/>
    <s v="No"/>
    <x v="253"/>
    <n v="640392"/>
  </r>
  <r>
    <s v="Forrest, Alex"/>
    <n v="10305"/>
    <x v="1"/>
    <s v="married"/>
    <x v="0"/>
    <s v="Active"/>
    <x v="2"/>
    <x v="1"/>
    <s v="No"/>
    <x v="254"/>
    <n v="842244"/>
  </r>
  <r>
    <s v="Foss, Jason"/>
    <n v="10015"/>
    <x v="0"/>
    <s v="single"/>
    <x v="0"/>
    <s v="Active"/>
    <x v="1"/>
    <x v="0"/>
    <s v="No"/>
    <x v="255"/>
    <n v="2136000"/>
  </r>
  <r>
    <s v="Foster-Baker, Amy"/>
    <n v="10080"/>
    <x v="1"/>
    <s v="married"/>
    <x v="1"/>
    <s v="Active"/>
    <x v="4"/>
    <x v="1"/>
    <s v="No"/>
    <x v="256"/>
    <n v="1192212"/>
  </r>
  <r>
    <s v="Fraval, Maruk"/>
    <n v="10258"/>
    <x v="0"/>
    <s v="single"/>
    <x v="0"/>
    <s v="Active"/>
    <x v="2"/>
    <x v="1"/>
    <s v="No"/>
    <x v="257"/>
    <n v="807012"/>
  </r>
  <r>
    <s v="Galia, Lisa"/>
    <n v="10273"/>
    <x v="0"/>
    <s v="single"/>
    <x v="1"/>
    <s v="Active"/>
    <x v="1"/>
    <x v="1"/>
    <s v="No"/>
    <x v="258"/>
    <n v="788484"/>
  </r>
  <r>
    <s v="Givens, Myriam"/>
    <n v="10255"/>
    <x v="0"/>
    <s v="single"/>
    <x v="1"/>
    <s v="Active"/>
    <x v="2"/>
    <x v="1"/>
    <s v="No"/>
    <x v="259"/>
    <n v="738660"/>
  </r>
  <r>
    <s v="Goeth, Amon"/>
    <n v="10228"/>
    <x v="1"/>
    <s v="married"/>
    <x v="0"/>
    <s v="Active"/>
    <x v="1"/>
    <x v="1"/>
    <s v="No"/>
    <x v="260"/>
    <n v="896148"/>
  </r>
  <r>
    <s v="Gonzalez, Maria"/>
    <n v="10101"/>
    <x v="0"/>
    <s v="Widowed"/>
    <x v="1"/>
    <s v="Active"/>
    <x v="1"/>
    <x v="1"/>
    <s v="No"/>
    <x v="52"/>
    <n v="734904"/>
  </r>
  <r>
    <s v="Gruber, Hans"/>
    <n v="10234"/>
    <x v="1"/>
    <s v="married"/>
    <x v="0"/>
    <s v="Active"/>
    <x v="1"/>
    <x v="1"/>
    <s v="No"/>
    <x v="261"/>
    <n v="1188240"/>
  </r>
  <r>
    <s v="Hitchcock, Alfred"/>
    <n v="10167"/>
    <x v="1"/>
    <s v="married"/>
    <x v="0"/>
    <s v="Active"/>
    <x v="2"/>
    <x v="1"/>
    <s v="No"/>
    <x v="262"/>
    <n v="846540"/>
  </r>
  <r>
    <s v="Horton, Jayne"/>
    <n v="10112"/>
    <x v="0"/>
    <s v="single"/>
    <x v="1"/>
    <s v="Active"/>
    <x v="1"/>
    <x v="1"/>
    <s v="No"/>
    <x v="263"/>
    <n v="1175988"/>
  </r>
  <r>
    <s v="Houlihan, Debra"/>
    <n v="10272"/>
    <x v="1"/>
    <s v="married"/>
    <x v="1"/>
    <s v="Active"/>
    <x v="2"/>
    <x v="1"/>
    <s v="No"/>
    <x v="264"/>
    <n v="2160000"/>
  </r>
  <r>
    <s v="Howard, Estelle"/>
    <n v="10182"/>
    <x v="1"/>
    <s v="married"/>
    <x v="1"/>
    <s v="Active"/>
    <x v="4"/>
    <x v="1"/>
    <s v="No"/>
    <x v="265"/>
    <n v="599040"/>
  </r>
  <r>
    <s v="Khemmich, Bartholemew"/>
    <n v="10231"/>
    <x v="0"/>
    <s v="single"/>
    <x v="0"/>
    <s v="Active"/>
    <x v="2"/>
    <x v="1"/>
    <s v="No"/>
    <x v="266"/>
    <n v="783720"/>
  </r>
  <r>
    <s v="King, Janet"/>
    <n v="10089"/>
    <x v="1"/>
    <s v="married"/>
    <x v="1"/>
    <s v="Active"/>
    <x v="5"/>
    <x v="1"/>
    <s v="No"/>
    <x v="267"/>
    <n v="3000000"/>
  </r>
  <r>
    <s v="Kreuger, Freddy"/>
    <n v="10165"/>
    <x v="0"/>
    <s v="single"/>
    <x v="0"/>
    <s v="Active"/>
    <x v="2"/>
    <x v="1"/>
    <s v="Yes"/>
    <x v="268"/>
    <n v="856068"/>
  </r>
  <r>
    <s v="LaRotonda, William"/>
    <n v="10038"/>
    <x v="0"/>
    <s v="Divorced"/>
    <x v="0"/>
    <s v="Active"/>
    <x v="4"/>
    <x v="1"/>
    <s v="No"/>
    <x v="269"/>
    <n v="774240"/>
  </r>
  <r>
    <s v="Le, Binh"/>
    <n v="10232"/>
    <x v="0"/>
    <s v="single"/>
    <x v="1"/>
    <s v="Active"/>
    <x v="1"/>
    <x v="1"/>
    <s v="No"/>
    <x v="270"/>
    <n v="979008"/>
  </r>
  <r>
    <s v="LeBlanc, Brandon  R"/>
    <n v="10134"/>
    <x v="1"/>
    <s v="married"/>
    <x v="0"/>
    <s v="Active"/>
    <x v="4"/>
    <x v="1"/>
    <s v="No"/>
    <x v="271"/>
    <n v="1116552"/>
  </r>
  <r>
    <s v="Leruth, Giovanni"/>
    <n v="10103"/>
    <x v="0"/>
    <s v="Widowed"/>
    <x v="0"/>
    <s v="Active"/>
    <x v="2"/>
    <x v="1"/>
    <s v="No"/>
    <x v="272"/>
    <n v="845616"/>
  </r>
  <r>
    <s v="Lindsay, Leonara"/>
    <n v="10008"/>
    <x v="0"/>
    <s v="single"/>
    <x v="1"/>
    <s v="Active"/>
    <x v="1"/>
    <x v="0"/>
    <s v="Yes"/>
    <x v="273"/>
    <n v="621324"/>
  </r>
  <r>
    <s v="Martin, Sandra"/>
    <n v="10110"/>
    <x v="0"/>
    <s v="single"/>
    <x v="1"/>
    <s v="Active"/>
    <x v="3"/>
    <x v="1"/>
    <s v="No"/>
    <x v="274"/>
    <n v="1268256"/>
  </r>
  <r>
    <s v="Monroe, Peter"/>
    <n v="10288"/>
    <x v="1"/>
    <s v="married"/>
    <x v="0"/>
    <s v="Active"/>
    <x v="1"/>
    <x v="2"/>
    <s v="Yes"/>
    <x v="275"/>
    <n v="1884000"/>
  </r>
  <r>
    <s v="Morway, Tanya"/>
    <n v="10151"/>
    <x v="1"/>
    <s v="married"/>
    <x v="1"/>
    <s v="Active"/>
    <x v="1"/>
    <x v="1"/>
    <s v="No"/>
    <x v="276"/>
    <n v="631188"/>
  </r>
  <r>
    <s v="Navathe, Kurt"/>
    <n v="10079"/>
    <x v="0"/>
    <s v="single"/>
    <x v="0"/>
    <s v="Active"/>
    <x v="1"/>
    <x v="1"/>
    <s v="No"/>
    <x v="277"/>
    <n v="1055052"/>
  </r>
  <r>
    <s v="Nguyen, Dheepa"/>
    <n v="10042"/>
    <x v="0"/>
    <s v="single"/>
    <x v="1"/>
    <s v="Active"/>
    <x v="2"/>
    <x v="1"/>
    <s v="No"/>
    <x v="278"/>
    <n v="764340"/>
  </r>
  <r>
    <s v="Onque, Jasmine"/>
    <n v="10121"/>
    <x v="0"/>
    <s v="single"/>
    <x v="1"/>
    <s v="Active"/>
    <x v="2"/>
    <x v="1"/>
    <s v="No"/>
    <x v="279"/>
    <n v="756612"/>
  </r>
  <r>
    <s v="Ozark, Travis"/>
    <n v="10041"/>
    <x v="0"/>
    <s v="single"/>
    <x v="0"/>
    <s v="Active"/>
    <x v="2"/>
    <x v="1"/>
    <s v="No"/>
    <x v="280"/>
    <n v="825948"/>
  </r>
  <r>
    <s v="Petrowsky, Thelma"/>
    <n v="10016"/>
    <x v="1"/>
    <s v="married"/>
    <x v="1"/>
    <s v="Active"/>
    <x v="1"/>
    <x v="0"/>
    <s v="No"/>
    <x v="281"/>
    <n v="1122648"/>
  </r>
  <r>
    <s v="Potts, Xana"/>
    <n v="10124"/>
    <x v="1"/>
    <s v="married"/>
    <x v="1"/>
    <s v="Active"/>
    <x v="2"/>
    <x v="1"/>
    <s v="No"/>
    <x v="282"/>
    <n v="742128"/>
  </r>
  <r>
    <s v="Rachael, Maggie"/>
    <n v="10239"/>
    <x v="1"/>
    <s v="married"/>
    <x v="1"/>
    <s v="Active"/>
    <x v="1"/>
    <x v="1"/>
    <s v="No"/>
    <x v="283"/>
    <n v="1151040"/>
  </r>
  <r>
    <s v="Ren, Kylo"/>
    <n v="10140"/>
    <x v="1"/>
    <s v="married"/>
    <x v="0"/>
    <s v="Active"/>
    <x v="2"/>
    <x v="1"/>
    <s v="No"/>
    <x v="284"/>
    <n v="741708"/>
  </r>
  <r>
    <s v="Roby, Lori"/>
    <n v="10162"/>
    <x v="1"/>
    <s v="married"/>
    <x v="1"/>
    <s v="Active"/>
    <x v="1"/>
    <x v="1"/>
    <s v="No"/>
    <x v="285"/>
    <n v="1078596"/>
  </r>
  <r>
    <s v="Roper, Katie"/>
    <n v="10086"/>
    <x v="0"/>
    <s v="single"/>
    <x v="1"/>
    <s v="Active"/>
    <x v="1"/>
    <x v="1"/>
    <s v="No"/>
    <x v="286"/>
    <n v="1803480"/>
  </r>
  <r>
    <s v="Roup,Simon"/>
    <n v="10198"/>
    <x v="0"/>
    <s v="single"/>
    <x v="0"/>
    <s v="Active"/>
    <x v="1"/>
    <x v="1"/>
    <s v="No"/>
    <x v="287"/>
    <n v="1691040"/>
  </r>
  <r>
    <s v="Saada, Adell"/>
    <n v="10126"/>
    <x v="1"/>
    <s v="married"/>
    <x v="1"/>
    <s v="Active"/>
    <x v="3"/>
    <x v="1"/>
    <s v="No"/>
    <x v="288"/>
    <n v="1034568"/>
  </r>
  <r>
    <s v="Shepard, Anita"/>
    <n v="10179"/>
    <x v="1"/>
    <s v="married"/>
    <x v="1"/>
    <s v="Active"/>
    <x v="1"/>
    <x v="1"/>
    <s v="No"/>
    <x v="289"/>
    <n v="609000"/>
  </r>
  <r>
    <s v="Simard, Kramer"/>
    <n v="10178"/>
    <x v="1"/>
    <s v="married"/>
    <x v="0"/>
    <s v="Active"/>
    <x v="1"/>
    <x v="1"/>
    <s v="No"/>
    <x v="290"/>
    <n v="1053912"/>
  </r>
  <r>
    <s v="Singh, Nan"/>
    <n v="10039"/>
    <x v="0"/>
    <s v="single"/>
    <x v="1"/>
    <s v="Active"/>
    <x v="4"/>
    <x v="1"/>
    <s v="No"/>
    <x v="291"/>
    <n v="623040"/>
  </r>
  <r>
    <s v="Smith, John"/>
    <n v="10291"/>
    <x v="0"/>
    <s v="Divorced"/>
    <x v="0"/>
    <s v="Active"/>
    <x v="2"/>
    <x v="2"/>
    <s v="Yes"/>
    <x v="292"/>
    <n v="875904"/>
  </r>
  <r>
    <s v="Soto, Julia"/>
    <n v="10119"/>
    <x v="1"/>
    <s v="married"/>
    <x v="1"/>
    <s v="Active"/>
    <x v="1"/>
    <x v="1"/>
    <s v="No"/>
    <x v="293"/>
    <n v="799116"/>
  </r>
  <r>
    <s v="Stansfield, Norman"/>
    <n v="10307"/>
    <x v="1"/>
    <s v="married"/>
    <x v="0"/>
    <s v="Active"/>
    <x v="2"/>
    <x v="3"/>
    <s v="No"/>
    <x v="294"/>
    <n v="699276"/>
  </r>
  <r>
    <s v="Steans, Tyrone"/>
    <n v="10147"/>
    <x v="0"/>
    <s v="single"/>
    <x v="0"/>
    <s v="Active"/>
    <x v="4"/>
    <x v="1"/>
    <s v="No"/>
    <x v="295"/>
    <n v="756036"/>
  </r>
  <r>
    <s v="Strong, Caitrin"/>
    <n v="10241"/>
    <x v="1"/>
    <s v="married"/>
    <x v="1"/>
    <s v="Active"/>
    <x v="2"/>
    <x v="1"/>
    <s v="No"/>
    <x v="296"/>
    <n v="721440"/>
  </r>
  <r>
    <s v="Szabo, Andrew"/>
    <n v="10024"/>
    <x v="0"/>
    <s v="single"/>
    <x v="0"/>
    <s v="Active"/>
    <x v="3"/>
    <x v="0"/>
    <s v="No"/>
    <x v="297"/>
    <n v="1115868"/>
  </r>
  <r>
    <s v="Tannen, Biff"/>
    <n v="10173"/>
    <x v="1"/>
    <s v="married"/>
    <x v="0"/>
    <s v="Active"/>
    <x v="1"/>
    <x v="1"/>
    <s v="No"/>
    <x v="298"/>
    <n v="1081200"/>
  </r>
  <r>
    <s v="Terry, Sharlene"/>
    <n v="10161"/>
    <x v="0"/>
    <s v="single"/>
    <x v="1"/>
    <s v="Active"/>
    <x v="2"/>
    <x v="1"/>
    <s v="No"/>
    <x v="299"/>
    <n v="700440"/>
  </r>
  <r>
    <s v="Torrence, Jack"/>
    <n v="10013"/>
    <x v="0"/>
    <s v="Widowed"/>
    <x v="0"/>
    <s v="Active"/>
    <x v="2"/>
    <x v="0"/>
    <s v="No"/>
    <x v="300"/>
    <n v="772764"/>
  </r>
  <r>
    <s v="Turpin, Jumil"/>
    <n v="10045"/>
    <x v="1"/>
    <s v="married"/>
    <x v="0"/>
    <s v="Active"/>
    <x v="1"/>
    <x v="1"/>
    <s v="No"/>
    <x v="301"/>
    <n v="912348"/>
  </r>
  <r>
    <s v="Valentin,Jackie"/>
    <n v="10205"/>
    <x v="1"/>
    <s v="married"/>
    <x v="1"/>
    <s v="Active"/>
    <x v="2"/>
    <x v="1"/>
    <s v="No"/>
    <x v="302"/>
    <n v="694308"/>
  </r>
  <r>
    <s v="Villanueva, Noah"/>
    <n v="10253"/>
    <x v="0"/>
    <s v="single"/>
    <x v="0"/>
    <s v="Active"/>
    <x v="2"/>
    <x v="1"/>
    <s v="No"/>
    <x v="303"/>
    <n v="670500"/>
  </r>
  <r>
    <s v="Wang, Charlie"/>
    <n v="10172"/>
    <x v="0"/>
    <s v="single"/>
    <x v="0"/>
    <s v="Active"/>
    <x v="1"/>
    <x v="1"/>
    <s v="No"/>
    <x v="304"/>
    <n v="1018836"/>
  </r>
  <r>
    <s v="Warfield, Sarah"/>
    <n v="10127"/>
    <x v="0"/>
    <s v="seperated"/>
    <x v="1"/>
    <s v="Active"/>
    <x v="1"/>
    <x v="1"/>
    <s v="No"/>
    <x v="305"/>
    <n v="1286712"/>
  </r>
  <r>
    <s v="Zamora, Jennifer"/>
    <n v="10010"/>
    <x v="0"/>
    <s v="single"/>
    <x v="1"/>
    <s v="Active"/>
    <x v="1"/>
    <x v="0"/>
    <s v="No"/>
    <x v="306"/>
    <n v="2645400"/>
  </r>
  <r>
    <s v="Zhou, Julia"/>
    <n v="10043"/>
    <x v="0"/>
    <s v="single"/>
    <x v="1"/>
    <s v="Active"/>
    <x v="1"/>
    <x v="1"/>
    <s v="No"/>
    <x v="307"/>
    <n v="10715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42176E-3DE3-4392-A2ED-B82F71F683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1:B98" firstHeaderRow="1" firstDataRow="1" firstDataCol="1"/>
  <pivotFields count="11">
    <pivotField showAll="0"/>
    <pivotField showAll="0"/>
    <pivotField showAll="0">
      <items count="3">
        <item x="1"/>
        <item x="0"/>
        <item t="default"/>
      </items>
    </pivotField>
    <pivotField showAll="0"/>
    <pivotField showAll="0">
      <items count="3">
        <item x="1"/>
        <item x="0"/>
        <item t="default"/>
      </items>
    </pivotField>
    <pivotField showAll="0"/>
    <pivotField axis="axisRow" showAll="0">
      <items count="7">
        <item x="4"/>
        <item x="5"/>
        <item x="1"/>
        <item x="3"/>
        <item x="0"/>
        <item x="2"/>
        <item t="default"/>
      </items>
    </pivotField>
    <pivotField showAll="0">
      <items count="5">
        <item x="3"/>
        <item x="2"/>
        <item x="1"/>
        <item x="0"/>
        <item t="default"/>
      </items>
    </pivotField>
    <pivotField showAll="0"/>
    <pivotField dataField="1" showAll="0">
      <items count="309">
        <item x="104"/>
        <item x="53"/>
        <item x="157"/>
        <item x="64"/>
        <item x="133"/>
        <item x="150"/>
        <item x="60"/>
        <item x="28"/>
        <item x="162"/>
        <item x="155"/>
        <item x="58"/>
        <item x="145"/>
        <item x="84"/>
        <item x="154"/>
        <item x="130"/>
        <item x="49"/>
        <item x="82"/>
        <item x="108"/>
        <item x="79"/>
        <item x="139"/>
        <item x="202"/>
        <item x="179"/>
        <item x="94"/>
        <item x="44"/>
        <item x="167"/>
        <item x="199"/>
        <item x="178"/>
        <item x="31"/>
        <item x="191"/>
        <item x="204"/>
        <item x="265"/>
        <item x="232"/>
        <item x="172"/>
        <item x="184"/>
        <item x="160"/>
        <item x="144"/>
        <item x="57"/>
        <item x="289"/>
        <item x="106"/>
        <item x="203"/>
        <item x="6"/>
        <item x="26"/>
        <item x="40"/>
        <item x="121"/>
        <item x="273"/>
        <item x="51"/>
        <item x="291"/>
        <item x="196"/>
        <item x="89"/>
        <item x="125"/>
        <item x="38"/>
        <item x="109"/>
        <item x="276"/>
        <item x="137"/>
        <item x="200"/>
        <item x="140"/>
        <item x="14"/>
        <item x="76"/>
        <item x="42"/>
        <item x="80"/>
        <item x="39"/>
        <item x="161"/>
        <item x="25"/>
        <item x="182"/>
        <item x="253"/>
        <item x="111"/>
        <item x="148"/>
        <item x="132"/>
        <item x="66"/>
        <item x="16"/>
        <item x="32"/>
        <item x="107"/>
        <item x="46"/>
        <item x="122"/>
        <item x="226"/>
        <item x="174"/>
        <item x="67"/>
        <item x="50"/>
        <item x="159"/>
        <item x="69"/>
        <item x="115"/>
        <item x="143"/>
        <item x="303"/>
        <item x="120"/>
        <item x="88"/>
        <item x="186"/>
        <item x="24"/>
        <item x="99"/>
        <item x="33"/>
        <item x="245"/>
        <item x="2"/>
        <item x="75"/>
        <item x="23"/>
        <item x="118"/>
        <item x="41"/>
        <item x="180"/>
        <item x="302"/>
        <item x="151"/>
        <item x="87"/>
        <item x="175"/>
        <item x="71"/>
        <item x="294"/>
        <item x="116"/>
        <item x="299"/>
        <item x="173"/>
        <item x="170"/>
        <item x="37"/>
        <item x="4"/>
        <item x="91"/>
        <item x="5"/>
        <item x="188"/>
        <item x="185"/>
        <item x="249"/>
        <item x="98"/>
        <item x="3"/>
        <item x="114"/>
        <item x="213"/>
        <item x="83"/>
        <item x="176"/>
        <item x="43"/>
        <item x="117"/>
        <item x="296"/>
        <item x="149"/>
        <item x="187"/>
        <item x="17"/>
        <item x="55"/>
        <item x="102"/>
        <item x="86"/>
        <item x="90"/>
        <item x="54"/>
        <item x="165"/>
        <item x="131"/>
        <item x="52"/>
        <item x="65"/>
        <item x="95"/>
        <item x="201"/>
        <item x="259"/>
        <item x="247"/>
        <item x="27"/>
        <item x="15"/>
        <item x="156"/>
        <item x="284"/>
        <item x="282"/>
        <item x="135"/>
        <item x="77"/>
        <item x="48"/>
        <item x="205"/>
        <item x="12"/>
        <item x="197"/>
        <item x="164"/>
        <item x="0"/>
        <item x="30"/>
        <item x="142"/>
        <item x="68"/>
        <item x="8"/>
        <item x="45"/>
        <item x="235"/>
        <item x="295"/>
        <item x="97"/>
        <item x="279"/>
        <item x="19"/>
        <item x="219"/>
        <item x="56"/>
        <item x="85"/>
        <item x="22"/>
        <item x="73"/>
        <item x="195"/>
        <item x="127"/>
        <item x="147"/>
        <item x="136"/>
        <item x="96"/>
        <item x="278"/>
        <item x="11"/>
        <item x="124"/>
        <item x="163"/>
        <item x="59"/>
        <item x="92"/>
        <item x="36"/>
        <item x="113"/>
        <item x="47"/>
        <item x="183"/>
        <item x="300"/>
        <item x="269"/>
        <item x="153"/>
        <item x="61"/>
        <item x="112"/>
        <item x="18"/>
        <item x="7"/>
        <item x="105"/>
        <item x="158"/>
        <item x="1"/>
        <item x="193"/>
        <item x="10"/>
        <item x="266"/>
        <item x="258"/>
        <item x="93"/>
        <item x="244"/>
        <item x="103"/>
        <item x="35"/>
        <item x="134"/>
        <item x="190"/>
        <item x="9"/>
        <item x="101"/>
        <item x="293"/>
        <item x="78"/>
        <item x="240"/>
        <item x="189"/>
        <item x="168"/>
        <item x="138"/>
        <item x="257"/>
        <item x="20"/>
        <item x="126"/>
        <item x="128"/>
        <item x="141"/>
        <item x="241"/>
        <item x="280"/>
        <item x="123"/>
        <item x="217"/>
        <item x="192"/>
        <item x="181"/>
        <item x="254"/>
        <item x="272"/>
        <item x="177"/>
        <item x="262"/>
        <item x="250"/>
        <item x="268"/>
        <item x="215"/>
        <item x="34"/>
        <item x="238"/>
        <item x="146"/>
        <item x="198"/>
        <item x="166"/>
        <item x="72"/>
        <item x="119"/>
        <item x="13"/>
        <item x="292"/>
        <item x="63"/>
        <item x="81"/>
        <item x="252"/>
        <item x="110"/>
        <item x="209"/>
        <item x="74"/>
        <item x="152"/>
        <item x="260"/>
        <item x="169"/>
        <item x="29"/>
        <item x="228"/>
        <item x="301"/>
        <item x="236"/>
        <item x="62"/>
        <item x="171"/>
        <item x="270"/>
        <item x="194"/>
        <item x="129"/>
        <item x="222"/>
        <item x="242"/>
        <item x="70"/>
        <item x="304"/>
        <item x="211"/>
        <item x="288"/>
        <item x="227"/>
        <item x="290"/>
        <item x="277"/>
        <item x="225"/>
        <item x="100"/>
        <item x="307"/>
        <item x="285"/>
        <item x="298"/>
        <item x="233"/>
        <item x="243"/>
        <item x="297"/>
        <item x="271"/>
        <item x="221"/>
        <item x="218"/>
        <item x="237"/>
        <item x="281"/>
        <item x="231"/>
        <item x="283"/>
        <item x="248"/>
        <item x="263"/>
        <item x="261"/>
        <item x="212"/>
        <item x="256"/>
        <item x="210"/>
        <item x="229"/>
        <item x="246"/>
        <item x="208"/>
        <item x="206"/>
        <item x="274"/>
        <item x="216"/>
        <item x="234"/>
        <item x="305"/>
        <item x="220"/>
        <item x="207"/>
        <item x="239"/>
        <item x="230"/>
        <item x="214"/>
        <item x="223"/>
        <item x="251"/>
        <item x="287"/>
        <item x="224"/>
        <item x="286"/>
        <item x="275"/>
        <item x="21"/>
        <item x="255"/>
        <item x="264"/>
        <item x="306"/>
        <item x="267"/>
        <item t="default"/>
      </items>
    </pivotField>
    <pivotField showAll="0"/>
  </pivotFields>
  <rowFields count="1">
    <field x="6"/>
  </rowFields>
  <rowItems count="7">
    <i>
      <x/>
    </i>
    <i>
      <x v="1"/>
    </i>
    <i>
      <x v="2"/>
    </i>
    <i>
      <x v="3"/>
    </i>
    <i>
      <x v="4"/>
    </i>
    <i>
      <x v="5"/>
    </i>
    <i t="grand">
      <x/>
    </i>
  </rowItems>
  <colItems count="1">
    <i/>
  </colItems>
  <dataFields count="1">
    <dataField name="Average of Salary" fld="9" subtotal="average" baseField="6" baseItem="0"/>
  </dataFields>
  <chartFormats count="2">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BE7605-C7E1-4FD1-8E2E-4D28E52114E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8:B75" firstHeaderRow="1" firstDataRow="1" firstDataCol="1"/>
  <pivotFields count="11">
    <pivotField showAll="0"/>
    <pivotField showAll="0"/>
    <pivotField showAll="0">
      <items count="3">
        <item x="1"/>
        <item x="0"/>
        <item t="default"/>
      </items>
    </pivotField>
    <pivotField showAll="0"/>
    <pivotField showAll="0">
      <items count="3">
        <item x="1"/>
        <item x="0"/>
        <item t="default"/>
      </items>
    </pivotField>
    <pivotField showAll="0"/>
    <pivotField axis="axisRow" showAll="0">
      <items count="7">
        <item x="4"/>
        <item x="5"/>
        <item x="1"/>
        <item x="3"/>
        <item x="0"/>
        <item x="2"/>
        <item t="default"/>
      </items>
    </pivotField>
    <pivotField dataField="1" showAll="0">
      <items count="5">
        <item x="3"/>
        <item x="2"/>
        <item x="1"/>
        <item x="0"/>
        <item t="default"/>
      </items>
    </pivotField>
    <pivotField showAll="0"/>
    <pivotField showAll="0">
      <items count="309">
        <item x="104"/>
        <item x="53"/>
        <item x="157"/>
        <item x="64"/>
        <item x="133"/>
        <item x="150"/>
        <item x="60"/>
        <item x="28"/>
        <item x="162"/>
        <item x="155"/>
        <item x="58"/>
        <item x="145"/>
        <item x="84"/>
        <item x="154"/>
        <item x="130"/>
        <item x="49"/>
        <item x="82"/>
        <item x="108"/>
        <item x="79"/>
        <item x="139"/>
        <item x="202"/>
        <item x="179"/>
        <item x="94"/>
        <item x="44"/>
        <item x="167"/>
        <item x="199"/>
        <item x="178"/>
        <item x="31"/>
        <item x="191"/>
        <item x="204"/>
        <item x="265"/>
        <item x="232"/>
        <item x="172"/>
        <item x="184"/>
        <item x="160"/>
        <item x="144"/>
        <item x="57"/>
        <item x="289"/>
        <item x="106"/>
        <item x="203"/>
        <item x="6"/>
        <item x="26"/>
        <item x="40"/>
        <item x="121"/>
        <item x="273"/>
        <item x="51"/>
        <item x="291"/>
        <item x="196"/>
        <item x="89"/>
        <item x="125"/>
        <item x="38"/>
        <item x="109"/>
        <item x="276"/>
        <item x="137"/>
        <item x="200"/>
        <item x="140"/>
        <item x="14"/>
        <item x="76"/>
        <item x="42"/>
        <item x="80"/>
        <item x="39"/>
        <item x="161"/>
        <item x="25"/>
        <item x="182"/>
        <item x="253"/>
        <item x="111"/>
        <item x="148"/>
        <item x="132"/>
        <item x="66"/>
        <item x="16"/>
        <item x="32"/>
        <item x="107"/>
        <item x="46"/>
        <item x="122"/>
        <item x="226"/>
        <item x="174"/>
        <item x="67"/>
        <item x="50"/>
        <item x="159"/>
        <item x="69"/>
        <item x="115"/>
        <item x="143"/>
        <item x="303"/>
        <item x="120"/>
        <item x="88"/>
        <item x="186"/>
        <item x="24"/>
        <item x="99"/>
        <item x="33"/>
        <item x="245"/>
        <item x="2"/>
        <item x="75"/>
        <item x="23"/>
        <item x="118"/>
        <item x="41"/>
        <item x="180"/>
        <item x="302"/>
        <item x="151"/>
        <item x="87"/>
        <item x="175"/>
        <item x="71"/>
        <item x="294"/>
        <item x="116"/>
        <item x="299"/>
        <item x="173"/>
        <item x="170"/>
        <item x="37"/>
        <item x="4"/>
        <item x="91"/>
        <item x="5"/>
        <item x="188"/>
        <item x="185"/>
        <item x="249"/>
        <item x="98"/>
        <item x="3"/>
        <item x="114"/>
        <item x="213"/>
        <item x="83"/>
        <item x="176"/>
        <item x="43"/>
        <item x="117"/>
        <item x="296"/>
        <item x="149"/>
        <item x="187"/>
        <item x="17"/>
        <item x="55"/>
        <item x="102"/>
        <item x="86"/>
        <item x="90"/>
        <item x="54"/>
        <item x="165"/>
        <item x="131"/>
        <item x="52"/>
        <item x="65"/>
        <item x="95"/>
        <item x="201"/>
        <item x="259"/>
        <item x="247"/>
        <item x="27"/>
        <item x="15"/>
        <item x="156"/>
        <item x="284"/>
        <item x="282"/>
        <item x="135"/>
        <item x="77"/>
        <item x="48"/>
        <item x="205"/>
        <item x="12"/>
        <item x="197"/>
        <item x="164"/>
        <item x="0"/>
        <item x="30"/>
        <item x="142"/>
        <item x="68"/>
        <item x="8"/>
        <item x="45"/>
        <item x="235"/>
        <item x="295"/>
        <item x="97"/>
        <item x="279"/>
        <item x="19"/>
        <item x="219"/>
        <item x="56"/>
        <item x="85"/>
        <item x="22"/>
        <item x="73"/>
        <item x="195"/>
        <item x="127"/>
        <item x="147"/>
        <item x="136"/>
        <item x="96"/>
        <item x="278"/>
        <item x="11"/>
        <item x="124"/>
        <item x="163"/>
        <item x="59"/>
        <item x="92"/>
        <item x="36"/>
        <item x="113"/>
        <item x="47"/>
        <item x="183"/>
        <item x="300"/>
        <item x="269"/>
        <item x="153"/>
        <item x="61"/>
        <item x="112"/>
        <item x="18"/>
        <item x="7"/>
        <item x="105"/>
        <item x="158"/>
        <item x="1"/>
        <item x="193"/>
        <item x="10"/>
        <item x="266"/>
        <item x="258"/>
        <item x="93"/>
        <item x="244"/>
        <item x="103"/>
        <item x="35"/>
        <item x="134"/>
        <item x="190"/>
        <item x="9"/>
        <item x="101"/>
        <item x="293"/>
        <item x="78"/>
        <item x="240"/>
        <item x="189"/>
        <item x="168"/>
        <item x="138"/>
        <item x="257"/>
        <item x="20"/>
        <item x="126"/>
        <item x="128"/>
        <item x="141"/>
        <item x="241"/>
        <item x="280"/>
        <item x="123"/>
        <item x="217"/>
        <item x="192"/>
        <item x="181"/>
        <item x="254"/>
        <item x="272"/>
        <item x="177"/>
        <item x="262"/>
        <item x="250"/>
        <item x="268"/>
        <item x="215"/>
        <item x="34"/>
        <item x="238"/>
        <item x="146"/>
        <item x="198"/>
        <item x="166"/>
        <item x="72"/>
        <item x="119"/>
        <item x="13"/>
        <item x="292"/>
        <item x="63"/>
        <item x="81"/>
        <item x="252"/>
        <item x="110"/>
        <item x="209"/>
        <item x="74"/>
        <item x="152"/>
        <item x="260"/>
        <item x="169"/>
        <item x="29"/>
        <item x="228"/>
        <item x="301"/>
        <item x="236"/>
        <item x="62"/>
        <item x="171"/>
        <item x="270"/>
        <item x="194"/>
        <item x="129"/>
        <item x="222"/>
        <item x="242"/>
        <item x="70"/>
        <item x="304"/>
        <item x="211"/>
        <item x="288"/>
        <item x="227"/>
        <item x="290"/>
        <item x="277"/>
        <item x="225"/>
        <item x="100"/>
        <item x="307"/>
        <item x="285"/>
        <item x="298"/>
        <item x="233"/>
        <item x="243"/>
        <item x="297"/>
        <item x="271"/>
        <item x="221"/>
        <item x="218"/>
        <item x="237"/>
        <item x="281"/>
        <item x="231"/>
        <item x="283"/>
        <item x="248"/>
        <item x="263"/>
        <item x="261"/>
        <item x="212"/>
        <item x="256"/>
        <item x="210"/>
        <item x="229"/>
        <item x="246"/>
        <item x="208"/>
        <item x="206"/>
        <item x="274"/>
        <item x="216"/>
        <item x="234"/>
        <item x="305"/>
        <item x="220"/>
        <item x="207"/>
        <item x="239"/>
        <item x="230"/>
        <item x="214"/>
        <item x="223"/>
        <item x="251"/>
        <item x="287"/>
        <item x="224"/>
        <item x="286"/>
        <item x="275"/>
        <item x="21"/>
        <item x="255"/>
        <item x="264"/>
        <item x="306"/>
        <item x="267"/>
        <item t="default"/>
      </items>
    </pivotField>
    <pivotField showAll="0"/>
  </pivotFields>
  <rowFields count="1">
    <field x="6"/>
  </rowFields>
  <rowItems count="7">
    <i>
      <x/>
    </i>
    <i>
      <x v="1"/>
    </i>
    <i>
      <x v="2"/>
    </i>
    <i>
      <x v="3"/>
    </i>
    <i>
      <x v="4"/>
    </i>
    <i>
      <x v="5"/>
    </i>
    <i t="grand">
      <x/>
    </i>
  </rowItems>
  <colItems count="1">
    <i/>
  </colItems>
  <dataFields count="1">
    <dataField name="Sum of PerfScoreID" fld="7" baseField="0" baseItem="0"/>
  </dataFields>
  <chartFormats count="3">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4FFA31-56FA-49AD-86D6-3C1DA631E5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0:B53" firstHeaderRow="1" firstDataRow="1" firstDataCol="1"/>
  <pivotFields count="11">
    <pivotField showAll="0"/>
    <pivotField dataField="1" showAll="0"/>
    <pivotField showAll="0">
      <items count="3">
        <item x="1"/>
        <item x="0"/>
        <item t="default"/>
      </items>
    </pivotField>
    <pivotField showAll="0"/>
    <pivotField axis="axisRow" showAll="0">
      <items count="3">
        <item x="1"/>
        <item x="0"/>
        <item t="default"/>
      </items>
    </pivotField>
    <pivotField showAll="0"/>
    <pivotField showAll="0">
      <items count="7">
        <item x="4"/>
        <item x="5"/>
        <item x="1"/>
        <item x="3"/>
        <item x="0"/>
        <item x="2"/>
        <item t="default"/>
      </items>
    </pivotField>
    <pivotField showAll="0">
      <items count="5">
        <item x="3"/>
        <item x="2"/>
        <item x="1"/>
        <item x="0"/>
        <item t="default"/>
      </items>
    </pivotField>
    <pivotField showAll="0"/>
    <pivotField showAll="0">
      <items count="309">
        <item x="104"/>
        <item x="53"/>
        <item x="157"/>
        <item x="64"/>
        <item x="133"/>
        <item x="150"/>
        <item x="60"/>
        <item x="28"/>
        <item x="162"/>
        <item x="155"/>
        <item x="58"/>
        <item x="145"/>
        <item x="84"/>
        <item x="154"/>
        <item x="130"/>
        <item x="49"/>
        <item x="82"/>
        <item x="108"/>
        <item x="79"/>
        <item x="139"/>
        <item x="202"/>
        <item x="179"/>
        <item x="94"/>
        <item x="44"/>
        <item x="167"/>
        <item x="199"/>
        <item x="178"/>
        <item x="31"/>
        <item x="191"/>
        <item x="204"/>
        <item x="265"/>
        <item x="232"/>
        <item x="172"/>
        <item x="184"/>
        <item x="160"/>
        <item x="144"/>
        <item x="57"/>
        <item x="289"/>
        <item x="106"/>
        <item x="203"/>
        <item x="6"/>
        <item x="26"/>
        <item x="40"/>
        <item x="121"/>
        <item x="273"/>
        <item x="51"/>
        <item x="291"/>
        <item x="196"/>
        <item x="89"/>
        <item x="125"/>
        <item x="38"/>
        <item x="109"/>
        <item x="276"/>
        <item x="137"/>
        <item x="200"/>
        <item x="140"/>
        <item x="14"/>
        <item x="76"/>
        <item x="42"/>
        <item x="80"/>
        <item x="39"/>
        <item x="161"/>
        <item x="25"/>
        <item x="182"/>
        <item x="253"/>
        <item x="111"/>
        <item x="148"/>
        <item x="132"/>
        <item x="66"/>
        <item x="16"/>
        <item x="32"/>
        <item x="107"/>
        <item x="46"/>
        <item x="122"/>
        <item x="226"/>
        <item x="174"/>
        <item x="67"/>
        <item x="50"/>
        <item x="159"/>
        <item x="69"/>
        <item x="115"/>
        <item x="143"/>
        <item x="303"/>
        <item x="120"/>
        <item x="88"/>
        <item x="186"/>
        <item x="24"/>
        <item x="99"/>
        <item x="33"/>
        <item x="245"/>
        <item x="2"/>
        <item x="75"/>
        <item x="23"/>
        <item x="118"/>
        <item x="41"/>
        <item x="180"/>
        <item x="302"/>
        <item x="151"/>
        <item x="87"/>
        <item x="175"/>
        <item x="71"/>
        <item x="294"/>
        <item x="116"/>
        <item x="299"/>
        <item x="173"/>
        <item x="170"/>
        <item x="37"/>
        <item x="4"/>
        <item x="91"/>
        <item x="5"/>
        <item x="188"/>
        <item x="185"/>
        <item x="249"/>
        <item x="98"/>
        <item x="3"/>
        <item x="114"/>
        <item x="213"/>
        <item x="83"/>
        <item x="176"/>
        <item x="43"/>
        <item x="117"/>
        <item x="296"/>
        <item x="149"/>
        <item x="187"/>
        <item x="17"/>
        <item x="55"/>
        <item x="102"/>
        <item x="86"/>
        <item x="90"/>
        <item x="54"/>
        <item x="165"/>
        <item x="131"/>
        <item x="52"/>
        <item x="65"/>
        <item x="95"/>
        <item x="201"/>
        <item x="259"/>
        <item x="247"/>
        <item x="27"/>
        <item x="15"/>
        <item x="156"/>
        <item x="284"/>
        <item x="282"/>
        <item x="135"/>
        <item x="77"/>
        <item x="48"/>
        <item x="205"/>
        <item x="12"/>
        <item x="197"/>
        <item x="164"/>
        <item x="0"/>
        <item x="30"/>
        <item x="142"/>
        <item x="68"/>
        <item x="8"/>
        <item x="45"/>
        <item x="235"/>
        <item x="295"/>
        <item x="97"/>
        <item x="279"/>
        <item x="19"/>
        <item x="219"/>
        <item x="56"/>
        <item x="85"/>
        <item x="22"/>
        <item x="73"/>
        <item x="195"/>
        <item x="127"/>
        <item x="147"/>
        <item x="136"/>
        <item x="96"/>
        <item x="278"/>
        <item x="11"/>
        <item x="124"/>
        <item x="163"/>
        <item x="59"/>
        <item x="92"/>
        <item x="36"/>
        <item x="113"/>
        <item x="47"/>
        <item x="183"/>
        <item x="300"/>
        <item x="269"/>
        <item x="153"/>
        <item x="61"/>
        <item x="112"/>
        <item x="18"/>
        <item x="7"/>
        <item x="105"/>
        <item x="158"/>
        <item x="1"/>
        <item x="193"/>
        <item x="10"/>
        <item x="266"/>
        <item x="258"/>
        <item x="93"/>
        <item x="244"/>
        <item x="103"/>
        <item x="35"/>
        <item x="134"/>
        <item x="190"/>
        <item x="9"/>
        <item x="101"/>
        <item x="293"/>
        <item x="78"/>
        <item x="240"/>
        <item x="189"/>
        <item x="168"/>
        <item x="138"/>
        <item x="257"/>
        <item x="20"/>
        <item x="126"/>
        <item x="128"/>
        <item x="141"/>
        <item x="241"/>
        <item x="280"/>
        <item x="123"/>
        <item x="217"/>
        <item x="192"/>
        <item x="181"/>
        <item x="254"/>
        <item x="272"/>
        <item x="177"/>
        <item x="262"/>
        <item x="250"/>
        <item x="268"/>
        <item x="215"/>
        <item x="34"/>
        <item x="238"/>
        <item x="146"/>
        <item x="198"/>
        <item x="166"/>
        <item x="72"/>
        <item x="119"/>
        <item x="13"/>
        <item x="292"/>
        <item x="63"/>
        <item x="81"/>
        <item x="252"/>
        <item x="110"/>
        <item x="209"/>
        <item x="74"/>
        <item x="152"/>
        <item x="260"/>
        <item x="169"/>
        <item x="29"/>
        <item x="228"/>
        <item x="301"/>
        <item x="236"/>
        <item x="62"/>
        <item x="171"/>
        <item x="270"/>
        <item x="194"/>
        <item x="129"/>
        <item x="222"/>
        <item x="242"/>
        <item x="70"/>
        <item x="304"/>
        <item x="211"/>
        <item x="288"/>
        <item x="227"/>
        <item x="290"/>
        <item x="277"/>
        <item x="225"/>
        <item x="100"/>
        <item x="307"/>
        <item x="285"/>
        <item x="298"/>
        <item x="233"/>
        <item x="243"/>
        <item x="297"/>
        <item x="271"/>
        <item x="221"/>
        <item x="218"/>
        <item x="237"/>
        <item x="281"/>
        <item x="231"/>
        <item x="283"/>
        <item x="248"/>
        <item x="263"/>
        <item x="261"/>
        <item x="212"/>
        <item x="256"/>
        <item x="210"/>
        <item x="229"/>
        <item x="246"/>
        <item x="208"/>
        <item x="206"/>
        <item x="274"/>
        <item x="216"/>
        <item x="234"/>
        <item x="305"/>
        <item x="220"/>
        <item x="207"/>
        <item x="239"/>
        <item x="230"/>
        <item x="214"/>
        <item x="223"/>
        <item x="251"/>
        <item x="287"/>
        <item x="224"/>
        <item x="286"/>
        <item x="275"/>
        <item x="21"/>
        <item x="255"/>
        <item x="264"/>
        <item x="306"/>
        <item x="267"/>
        <item t="default"/>
      </items>
    </pivotField>
    <pivotField showAll="0"/>
  </pivotFields>
  <rowFields count="1">
    <field x="4"/>
  </rowFields>
  <rowItems count="3">
    <i>
      <x/>
    </i>
    <i>
      <x v="1"/>
    </i>
    <i t="grand">
      <x/>
    </i>
  </rowItems>
  <colItems count="1">
    <i/>
  </colItems>
  <dataFields count="1">
    <dataField name="Count of EmpID" fld="1" subtotal="count" baseField="6" baseItem="0"/>
  </dataFields>
  <chartFormats count="7">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4" count="1" selected="0">
            <x v="0"/>
          </reference>
        </references>
      </pivotArea>
    </chartFormat>
    <chartFormat chart="14" format="6">
      <pivotArea type="data" outline="0" fieldPosition="0">
        <references count="2">
          <reference field="4294967294" count="1" selected="0">
            <x v="0"/>
          </reference>
          <reference field="4" count="1" selected="0">
            <x v="1"/>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9"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3E7FDF-4B1B-4BFB-8506-C52F479B7F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2:B39" firstHeaderRow="1" firstDataRow="1" firstDataCol="1"/>
  <pivotFields count="11">
    <pivotField showAll="0"/>
    <pivotField dataField="1" showAll="0"/>
    <pivotField showAll="0">
      <items count="3">
        <item x="1"/>
        <item x="0"/>
        <item t="default"/>
      </items>
    </pivotField>
    <pivotField showAll="0"/>
    <pivotField showAll="0">
      <items count="3">
        <item x="1"/>
        <item x="0"/>
        <item t="default"/>
      </items>
    </pivotField>
    <pivotField showAll="0"/>
    <pivotField axis="axisRow" showAll="0">
      <items count="7">
        <item x="4"/>
        <item x="5"/>
        <item x="1"/>
        <item x="3"/>
        <item x="0"/>
        <item x="2"/>
        <item t="default"/>
      </items>
    </pivotField>
    <pivotField showAll="0">
      <items count="5">
        <item x="3"/>
        <item x="2"/>
        <item x="1"/>
        <item x="0"/>
        <item t="default"/>
      </items>
    </pivotField>
    <pivotField showAll="0"/>
    <pivotField showAll="0">
      <items count="309">
        <item x="104"/>
        <item x="53"/>
        <item x="157"/>
        <item x="64"/>
        <item x="133"/>
        <item x="150"/>
        <item x="60"/>
        <item x="28"/>
        <item x="162"/>
        <item x="155"/>
        <item x="58"/>
        <item x="145"/>
        <item x="84"/>
        <item x="154"/>
        <item x="130"/>
        <item x="49"/>
        <item x="82"/>
        <item x="108"/>
        <item x="79"/>
        <item x="139"/>
        <item x="202"/>
        <item x="179"/>
        <item x="94"/>
        <item x="44"/>
        <item x="167"/>
        <item x="199"/>
        <item x="178"/>
        <item x="31"/>
        <item x="191"/>
        <item x="204"/>
        <item x="265"/>
        <item x="232"/>
        <item x="172"/>
        <item x="184"/>
        <item x="160"/>
        <item x="144"/>
        <item x="57"/>
        <item x="289"/>
        <item x="106"/>
        <item x="203"/>
        <item x="6"/>
        <item x="26"/>
        <item x="40"/>
        <item x="121"/>
        <item x="273"/>
        <item x="51"/>
        <item x="291"/>
        <item x="196"/>
        <item x="89"/>
        <item x="125"/>
        <item x="38"/>
        <item x="109"/>
        <item x="276"/>
        <item x="137"/>
        <item x="200"/>
        <item x="140"/>
        <item x="14"/>
        <item x="76"/>
        <item x="42"/>
        <item x="80"/>
        <item x="39"/>
        <item x="161"/>
        <item x="25"/>
        <item x="182"/>
        <item x="253"/>
        <item x="111"/>
        <item x="148"/>
        <item x="132"/>
        <item x="66"/>
        <item x="16"/>
        <item x="32"/>
        <item x="107"/>
        <item x="46"/>
        <item x="122"/>
        <item x="226"/>
        <item x="174"/>
        <item x="67"/>
        <item x="50"/>
        <item x="159"/>
        <item x="69"/>
        <item x="115"/>
        <item x="143"/>
        <item x="303"/>
        <item x="120"/>
        <item x="88"/>
        <item x="186"/>
        <item x="24"/>
        <item x="99"/>
        <item x="33"/>
        <item x="245"/>
        <item x="2"/>
        <item x="75"/>
        <item x="23"/>
        <item x="118"/>
        <item x="41"/>
        <item x="180"/>
        <item x="302"/>
        <item x="151"/>
        <item x="87"/>
        <item x="175"/>
        <item x="71"/>
        <item x="294"/>
        <item x="116"/>
        <item x="299"/>
        <item x="173"/>
        <item x="170"/>
        <item x="37"/>
        <item x="4"/>
        <item x="91"/>
        <item x="5"/>
        <item x="188"/>
        <item x="185"/>
        <item x="249"/>
        <item x="98"/>
        <item x="3"/>
        <item x="114"/>
        <item x="213"/>
        <item x="83"/>
        <item x="176"/>
        <item x="43"/>
        <item x="117"/>
        <item x="296"/>
        <item x="149"/>
        <item x="187"/>
        <item x="17"/>
        <item x="55"/>
        <item x="102"/>
        <item x="86"/>
        <item x="90"/>
        <item x="54"/>
        <item x="165"/>
        <item x="131"/>
        <item x="52"/>
        <item x="65"/>
        <item x="95"/>
        <item x="201"/>
        <item x="259"/>
        <item x="247"/>
        <item x="27"/>
        <item x="15"/>
        <item x="156"/>
        <item x="284"/>
        <item x="282"/>
        <item x="135"/>
        <item x="77"/>
        <item x="48"/>
        <item x="205"/>
        <item x="12"/>
        <item x="197"/>
        <item x="164"/>
        <item x="0"/>
        <item x="30"/>
        <item x="142"/>
        <item x="68"/>
        <item x="8"/>
        <item x="45"/>
        <item x="235"/>
        <item x="295"/>
        <item x="97"/>
        <item x="279"/>
        <item x="19"/>
        <item x="219"/>
        <item x="56"/>
        <item x="85"/>
        <item x="22"/>
        <item x="73"/>
        <item x="195"/>
        <item x="127"/>
        <item x="147"/>
        <item x="136"/>
        <item x="96"/>
        <item x="278"/>
        <item x="11"/>
        <item x="124"/>
        <item x="163"/>
        <item x="59"/>
        <item x="92"/>
        <item x="36"/>
        <item x="113"/>
        <item x="47"/>
        <item x="183"/>
        <item x="300"/>
        <item x="269"/>
        <item x="153"/>
        <item x="61"/>
        <item x="112"/>
        <item x="18"/>
        <item x="7"/>
        <item x="105"/>
        <item x="158"/>
        <item x="1"/>
        <item x="193"/>
        <item x="10"/>
        <item x="266"/>
        <item x="258"/>
        <item x="93"/>
        <item x="244"/>
        <item x="103"/>
        <item x="35"/>
        <item x="134"/>
        <item x="190"/>
        <item x="9"/>
        <item x="101"/>
        <item x="293"/>
        <item x="78"/>
        <item x="240"/>
        <item x="189"/>
        <item x="168"/>
        <item x="138"/>
        <item x="257"/>
        <item x="20"/>
        <item x="126"/>
        <item x="128"/>
        <item x="141"/>
        <item x="241"/>
        <item x="280"/>
        <item x="123"/>
        <item x="217"/>
        <item x="192"/>
        <item x="181"/>
        <item x="254"/>
        <item x="272"/>
        <item x="177"/>
        <item x="262"/>
        <item x="250"/>
        <item x="268"/>
        <item x="215"/>
        <item x="34"/>
        <item x="238"/>
        <item x="146"/>
        <item x="198"/>
        <item x="166"/>
        <item x="72"/>
        <item x="119"/>
        <item x="13"/>
        <item x="292"/>
        <item x="63"/>
        <item x="81"/>
        <item x="252"/>
        <item x="110"/>
        <item x="209"/>
        <item x="74"/>
        <item x="152"/>
        <item x="260"/>
        <item x="169"/>
        <item x="29"/>
        <item x="228"/>
        <item x="301"/>
        <item x="236"/>
        <item x="62"/>
        <item x="171"/>
        <item x="270"/>
        <item x="194"/>
        <item x="129"/>
        <item x="222"/>
        <item x="242"/>
        <item x="70"/>
        <item x="304"/>
        <item x="211"/>
        <item x="288"/>
        <item x="227"/>
        <item x="290"/>
        <item x="277"/>
        <item x="225"/>
        <item x="100"/>
        <item x="307"/>
        <item x="285"/>
        <item x="298"/>
        <item x="233"/>
        <item x="243"/>
        <item x="297"/>
        <item x="271"/>
        <item x="221"/>
        <item x="218"/>
        <item x="237"/>
        <item x="281"/>
        <item x="231"/>
        <item x="283"/>
        <item x="248"/>
        <item x="263"/>
        <item x="261"/>
        <item x="212"/>
        <item x="256"/>
        <item x="210"/>
        <item x="229"/>
        <item x="246"/>
        <item x="208"/>
        <item x="206"/>
        <item x="274"/>
        <item x="216"/>
        <item x="234"/>
        <item x="305"/>
        <item x="220"/>
        <item x="207"/>
        <item x="239"/>
        <item x="230"/>
        <item x="214"/>
        <item x="223"/>
        <item x="251"/>
        <item x="287"/>
        <item x="224"/>
        <item x="286"/>
        <item x="275"/>
        <item x="21"/>
        <item x="255"/>
        <item x="264"/>
        <item x="306"/>
        <item x="267"/>
        <item t="default"/>
      </items>
    </pivotField>
    <pivotField showAll="0"/>
  </pivotFields>
  <rowFields count="1">
    <field x="6"/>
  </rowFields>
  <rowItems count="7">
    <i>
      <x/>
    </i>
    <i>
      <x v="1"/>
    </i>
    <i>
      <x v="2"/>
    </i>
    <i>
      <x v="3"/>
    </i>
    <i>
      <x v="4"/>
    </i>
    <i>
      <x v="5"/>
    </i>
    <i t="grand">
      <x/>
    </i>
  </rowItems>
  <colItems count="1">
    <i/>
  </colItems>
  <dataFields count="1">
    <dataField name="Count of EmpID" fld="1" subtotal="count" baseField="6"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2371D6-9908-40E1-8B49-96A0C5D89E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1">
    <pivotField showAll="0"/>
    <pivotField showAll="0"/>
    <pivotField showAll="0">
      <items count="3">
        <item x="1"/>
        <item x="0"/>
        <item t="default"/>
      </items>
    </pivotField>
    <pivotField showAll="0"/>
    <pivotField showAll="0">
      <items count="3">
        <item x="1"/>
        <item x="0"/>
        <item t="default"/>
      </items>
    </pivotField>
    <pivotField showAll="0"/>
    <pivotField axis="axisRow" showAll="0">
      <items count="7">
        <item x="4"/>
        <item x="5"/>
        <item x="1"/>
        <item x="3"/>
        <item x="0"/>
        <item x="2"/>
        <item t="default"/>
      </items>
    </pivotField>
    <pivotField showAll="0">
      <items count="5">
        <item x="3"/>
        <item x="2"/>
        <item x="1"/>
        <item x="0"/>
        <item t="default"/>
      </items>
    </pivotField>
    <pivotField showAll="0"/>
    <pivotField dataField="1" showAll="0">
      <items count="309">
        <item x="104"/>
        <item x="53"/>
        <item x="157"/>
        <item x="64"/>
        <item x="133"/>
        <item x="150"/>
        <item x="60"/>
        <item x="28"/>
        <item x="162"/>
        <item x="155"/>
        <item x="58"/>
        <item x="145"/>
        <item x="84"/>
        <item x="154"/>
        <item x="130"/>
        <item x="49"/>
        <item x="82"/>
        <item x="108"/>
        <item x="79"/>
        <item x="139"/>
        <item x="202"/>
        <item x="179"/>
        <item x="94"/>
        <item x="44"/>
        <item x="167"/>
        <item x="199"/>
        <item x="178"/>
        <item x="31"/>
        <item x="191"/>
        <item x="204"/>
        <item x="265"/>
        <item x="232"/>
        <item x="172"/>
        <item x="184"/>
        <item x="160"/>
        <item x="144"/>
        <item x="57"/>
        <item x="289"/>
        <item x="106"/>
        <item x="203"/>
        <item x="6"/>
        <item x="26"/>
        <item x="40"/>
        <item x="121"/>
        <item x="273"/>
        <item x="51"/>
        <item x="291"/>
        <item x="196"/>
        <item x="89"/>
        <item x="125"/>
        <item x="38"/>
        <item x="109"/>
        <item x="276"/>
        <item x="137"/>
        <item x="200"/>
        <item x="140"/>
        <item x="14"/>
        <item x="76"/>
        <item x="42"/>
        <item x="80"/>
        <item x="39"/>
        <item x="161"/>
        <item x="25"/>
        <item x="182"/>
        <item x="253"/>
        <item x="111"/>
        <item x="148"/>
        <item x="132"/>
        <item x="66"/>
        <item x="16"/>
        <item x="32"/>
        <item x="107"/>
        <item x="46"/>
        <item x="122"/>
        <item x="226"/>
        <item x="174"/>
        <item x="67"/>
        <item x="50"/>
        <item x="159"/>
        <item x="69"/>
        <item x="115"/>
        <item x="143"/>
        <item x="303"/>
        <item x="120"/>
        <item x="88"/>
        <item x="186"/>
        <item x="24"/>
        <item x="99"/>
        <item x="33"/>
        <item x="245"/>
        <item x="2"/>
        <item x="75"/>
        <item x="23"/>
        <item x="118"/>
        <item x="41"/>
        <item x="180"/>
        <item x="302"/>
        <item x="151"/>
        <item x="87"/>
        <item x="175"/>
        <item x="71"/>
        <item x="294"/>
        <item x="116"/>
        <item x="299"/>
        <item x="173"/>
        <item x="170"/>
        <item x="37"/>
        <item x="4"/>
        <item x="91"/>
        <item x="5"/>
        <item x="188"/>
        <item x="185"/>
        <item x="249"/>
        <item x="98"/>
        <item x="3"/>
        <item x="114"/>
        <item x="213"/>
        <item x="83"/>
        <item x="176"/>
        <item x="43"/>
        <item x="117"/>
        <item x="296"/>
        <item x="149"/>
        <item x="187"/>
        <item x="17"/>
        <item x="55"/>
        <item x="102"/>
        <item x="86"/>
        <item x="90"/>
        <item x="54"/>
        <item x="165"/>
        <item x="131"/>
        <item x="52"/>
        <item x="65"/>
        <item x="95"/>
        <item x="201"/>
        <item x="259"/>
        <item x="247"/>
        <item x="27"/>
        <item x="15"/>
        <item x="156"/>
        <item x="284"/>
        <item x="282"/>
        <item x="135"/>
        <item x="77"/>
        <item x="48"/>
        <item x="205"/>
        <item x="12"/>
        <item x="197"/>
        <item x="164"/>
        <item x="0"/>
        <item x="30"/>
        <item x="142"/>
        <item x="68"/>
        <item x="8"/>
        <item x="45"/>
        <item x="235"/>
        <item x="295"/>
        <item x="97"/>
        <item x="279"/>
        <item x="19"/>
        <item x="219"/>
        <item x="56"/>
        <item x="85"/>
        <item x="22"/>
        <item x="73"/>
        <item x="195"/>
        <item x="127"/>
        <item x="147"/>
        <item x="136"/>
        <item x="96"/>
        <item x="278"/>
        <item x="11"/>
        <item x="124"/>
        <item x="163"/>
        <item x="59"/>
        <item x="92"/>
        <item x="36"/>
        <item x="113"/>
        <item x="47"/>
        <item x="183"/>
        <item x="300"/>
        <item x="269"/>
        <item x="153"/>
        <item x="61"/>
        <item x="112"/>
        <item x="18"/>
        <item x="7"/>
        <item x="105"/>
        <item x="158"/>
        <item x="1"/>
        <item x="193"/>
        <item x="10"/>
        <item x="266"/>
        <item x="258"/>
        <item x="93"/>
        <item x="244"/>
        <item x="103"/>
        <item x="35"/>
        <item x="134"/>
        <item x="190"/>
        <item x="9"/>
        <item x="101"/>
        <item x="293"/>
        <item x="78"/>
        <item x="240"/>
        <item x="189"/>
        <item x="168"/>
        <item x="138"/>
        <item x="257"/>
        <item x="20"/>
        <item x="126"/>
        <item x="128"/>
        <item x="141"/>
        <item x="241"/>
        <item x="280"/>
        <item x="123"/>
        <item x="217"/>
        <item x="192"/>
        <item x="181"/>
        <item x="254"/>
        <item x="272"/>
        <item x="177"/>
        <item x="262"/>
        <item x="250"/>
        <item x="268"/>
        <item x="215"/>
        <item x="34"/>
        <item x="238"/>
        <item x="146"/>
        <item x="198"/>
        <item x="166"/>
        <item x="72"/>
        <item x="119"/>
        <item x="13"/>
        <item x="292"/>
        <item x="63"/>
        <item x="81"/>
        <item x="252"/>
        <item x="110"/>
        <item x="209"/>
        <item x="74"/>
        <item x="152"/>
        <item x="260"/>
        <item x="169"/>
        <item x="29"/>
        <item x="228"/>
        <item x="301"/>
        <item x="236"/>
        <item x="62"/>
        <item x="171"/>
        <item x="270"/>
        <item x="194"/>
        <item x="129"/>
        <item x="222"/>
        <item x="242"/>
        <item x="70"/>
        <item x="304"/>
        <item x="211"/>
        <item x="288"/>
        <item x="227"/>
        <item x="290"/>
        <item x="277"/>
        <item x="225"/>
        <item x="100"/>
        <item x="307"/>
        <item x="285"/>
        <item x="298"/>
        <item x="233"/>
        <item x="243"/>
        <item x="297"/>
        <item x="271"/>
        <item x="221"/>
        <item x="218"/>
        <item x="237"/>
        <item x="281"/>
        <item x="231"/>
        <item x="283"/>
        <item x="248"/>
        <item x="263"/>
        <item x="261"/>
        <item x="212"/>
        <item x="256"/>
        <item x="210"/>
        <item x="229"/>
        <item x="246"/>
        <item x="208"/>
        <item x="206"/>
        <item x="274"/>
        <item x="216"/>
        <item x="234"/>
        <item x="305"/>
        <item x="220"/>
        <item x="207"/>
        <item x="239"/>
        <item x="230"/>
        <item x="214"/>
        <item x="223"/>
        <item x="251"/>
        <item x="287"/>
        <item x="224"/>
        <item x="286"/>
        <item x="275"/>
        <item x="21"/>
        <item x="255"/>
        <item x="264"/>
        <item x="306"/>
        <item x="267"/>
        <item t="default"/>
      </items>
    </pivotField>
    <pivotField showAll="0"/>
  </pivotFields>
  <rowFields count="1">
    <field x="6"/>
  </rowFields>
  <rowItems count="7">
    <i>
      <x/>
    </i>
    <i>
      <x v="1"/>
    </i>
    <i>
      <x v="2"/>
    </i>
    <i>
      <x v="3"/>
    </i>
    <i>
      <x v="4"/>
    </i>
    <i>
      <x v="5"/>
    </i>
    <i t="grand">
      <x/>
    </i>
  </rowItems>
  <colItems count="1">
    <i/>
  </colItems>
  <dataFields count="1">
    <dataField name="Sum of Salary"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E8E0B2D-C94B-4F49-A3F7-8CC303B48431}" autoFormatId="16" applyNumberFormats="0" applyBorderFormats="0" applyFontFormats="0" applyPatternFormats="0" applyAlignmentFormats="0" applyWidthHeightFormats="0">
  <queryTableRefresh nextId="13" unboundColumnsRight="1">
    <queryTableFields count="11">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2" dataBound="0" tableColumnId="12"/>
    </queryTableFields>
  </queryTableRefresh>
  <extLst>
    <ext xmlns:x15="http://schemas.microsoft.com/office/spreadsheetml/2010/11/main" uri="{883FBD77-0823-4a55-B5E3-86C4891E6966}">
      <x15:queryTable sourceDataName="Query - HRDataset_v14-selected-column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ID" xr10:uid="{1BA132D2-A5F7-48AE-BEF9-9525FB3B8EA7}" sourceName="MarriedID">
  <pivotTables>
    <pivotTable tabId="2" name="PivotTable4"/>
    <pivotTable tabId="2" name="PivotTable2"/>
    <pivotTable tabId="2" name="PivotTable3"/>
    <pivotTable tabId="2" name="PivotTable5"/>
    <pivotTable tabId="2" name="PivotTable6"/>
  </pivotTables>
  <data>
    <tabular pivotCacheId="153395032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ID" xr10:uid="{9EF35AF6-A9C5-46CC-8EEE-90A83352840B}" sourceName="GenderID">
  <pivotTables>
    <pivotTable tabId="2" name="PivotTable4"/>
    <pivotTable tabId="2" name="PivotTable2"/>
    <pivotTable tabId="2" name="PivotTable3"/>
    <pivotTable tabId="2" name="PivotTable5"/>
    <pivotTable tabId="2" name="PivotTable6"/>
  </pivotTables>
  <data>
    <tabular pivotCacheId="153395032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ID" xr10:uid="{52F59C06-1192-4592-863D-8CB674FC8ADD}" sourceName="DeptID">
  <pivotTables>
    <pivotTable tabId="2" name="PivotTable4"/>
    <pivotTable tabId="2" name="PivotTable2"/>
    <pivotTable tabId="2" name="PivotTable3"/>
    <pivotTable tabId="2" name="PivotTable5"/>
    <pivotTable tabId="2" name="PivotTable6"/>
  </pivotTables>
  <data>
    <tabular pivotCacheId="1533950327">
      <items count="6">
        <i x="4" s="1"/>
        <i x="5" s="1"/>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ScoreID" xr10:uid="{7A1EA47D-7FE8-4A65-A2C5-1A0E60A3AB8A}" sourceName="PerfScoreID">
  <pivotTables>
    <pivotTable tabId="2" name="PivotTable4"/>
    <pivotTable tabId="2" name="PivotTable2"/>
    <pivotTable tabId="2" name="PivotTable3"/>
    <pivotTable tabId="2" name="PivotTable5"/>
    <pivotTable tabId="2" name="PivotTable6"/>
  </pivotTables>
  <data>
    <tabular pivotCacheId="1533950327">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ID" xr10:uid="{B05CFFD7-A35B-43B7-B9B8-E1F85F023B6A}" cache="Slicer_MarriedID" caption="MarriedID" columnCount="2" showCaption="0" style="SlicerStyleDark3" rowHeight="247650"/>
  <slicer name="GenderID" xr10:uid="{DD805E52-3A8D-453D-B1F6-DE2F6B53417A}" cache="Slicer_GenderID" caption="GenderID" columnCount="2" showCaption="0" style="SlicerStyleDark3" rowHeight="247650"/>
  <slicer name="DeptID" xr10:uid="{E26F7DE7-A9F7-410B-B5CD-9674F17099FC}" cache="Slicer_DeptID" caption="DeptID" columnCount="6" showCaption="0" style="SlicerStyleDark6" rowHeight="247650"/>
  <slicer name="PerfScoreID" xr10:uid="{3561D29A-7FCD-4BFA-84B0-04D6CCA82D77}" cache="Slicer_PerfScoreID" caption="PerfScoreID" columnCount="4" showCaption="0" style="SlicerStyleDark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87BEF7-52FC-42F4-AAF7-04D1B2A8D40D}" name="HRDataset_v14_selected_columns" displayName="HRDataset_v14_selected_columns" ref="A1:K312" tableType="queryTable" totalsRowShown="0">
  <autoFilter ref="A1:K312" xr:uid="{CC87BEF7-52FC-42F4-AAF7-04D1B2A8D40D}"/>
  <tableColumns count="11">
    <tableColumn id="1" xr3:uid="{C8627E10-9050-4BED-BA1C-A96EC66FF7CA}" uniqueName="1" name="Employee_Name" queryTableFieldId="1" dataDxfId="6"/>
    <tableColumn id="2" xr3:uid="{B1EB96D4-C16E-457C-876A-719CF3871DD4}" uniqueName="2" name="EmpID" queryTableFieldId="2"/>
    <tableColumn id="3" xr3:uid="{EFA2C2EF-5DB6-419C-A66B-D5B3C2998B2F}" uniqueName="3" name="MarriedID" queryTableFieldId="3" dataDxfId="5"/>
    <tableColumn id="4" xr3:uid="{F9F2D0CA-1416-49C5-9FA1-732AB21FA58C}" uniqueName="4" name="MaritalStatusID" queryTableFieldId="4" dataDxfId="4"/>
    <tableColumn id="5" xr3:uid="{A578D0FF-33C3-4012-8358-D16308D8C465}" uniqueName="5" name="GenderID" queryTableFieldId="5" dataDxfId="3"/>
    <tableColumn id="6" xr3:uid="{68F98821-D51D-4E29-BA88-DCBCE1FF17DF}" uniqueName="6" name="EmpStatusID" queryTableFieldId="6" dataDxfId="2"/>
    <tableColumn id="7" xr3:uid="{949AAE72-F24F-4F07-AEED-6D0C200AC0C7}" uniqueName="7" name="DeptID" queryTableFieldId="7"/>
    <tableColumn id="8" xr3:uid="{A916C2C2-1A76-452B-B15C-54352CCA7B63}" uniqueName="8" name="PerfScoreID" queryTableFieldId="8"/>
    <tableColumn id="9" xr3:uid="{6145A6FC-E902-4A43-B179-6FFB0D2F490E}" uniqueName="9" name="FromDiversityJobFairID" queryTableFieldId="9" dataDxfId="1"/>
    <tableColumn id="10" xr3:uid="{655DCA39-45B6-40E6-8001-92B71891F8F3}" uniqueName="10" name="Salary" queryTableFieldId="10"/>
    <tableColumn id="12" xr3:uid="{656E75E8-0605-4426-9F35-79B9E5E254BD}" uniqueName="12" name="Annual Salary" queryTableFieldId="12" dataDxfId="0">
      <calculatedColumnFormula>HRDataset_v14_selected_columns[[#This Row],[Salary]]*12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B370E-22E0-43EA-A7BB-C0C1BAF9F39B}">
  <dimension ref="A3:B98"/>
  <sheetViews>
    <sheetView topLeftCell="A64" workbookViewId="0">
      <selection activeCell="U88" sqref="U88"/>
    </sheetView>
  </sheetViews>
  <sheetFormatPr defaultRowHeight="14.4" x14ac:dyDescent="0.3"/>
  <cols>
    <col min="1" max="1" width="12.44140625" bestFit="1" customWidth="1"/>
    <col min="2" max="2" width="15.109375" bestFit="1" customWidth="1"/>
    <col min="3" max="3" width="12.5546875" bestFit="1" customWidth="1"/>
    <col min="4" max="284" width="6" bestFit="1" customWidth="1"/>
    <col min="285" max="309" width="7" bestFit="1" customWidth="1"/>
    <col min="310" max="310" width="10.5546875" bestFit="1" customWidth="1"/>
  </cols>
  <sheetData>
    <row r="3" spans="1:2" x14ac:dyDescent="0.3">
      <c r="A3" s="2" t="s">
        <v>336</v>
      </c>
      <c r="B3" t="s">
        <v>339</v>
      </c>
    </row>
    <row r="4" spans="1:2" x14ac:dyDescent="0.3">
      <c r="A4" s="3">
        <v>1</v>
      </c>
      <c r="B4" s="1">
        <v>729490</v>
      </c>
    </row>
    <row r="5" spans="1:2" x14ac:dyDescent="0.3">
      <c r="A5" s="3">
        <v>2</v>
      </c>
      <c r="B5" s="1">
        <v>250000</v>
      </c>
    </row>
    <row r="6" spans="1:2" x14ac:dyDescent="0.3">
      <c r="A6" s="3">
        <v>3</v>
      </c>
      <c r="B6" s="1">
        <v>4853232</v>
      </c>
    </row>
    <row r="7" spans="1:2" x14ac:dyDescent="0.3">
      <c r="A7" s="3">
        <v>4</v>
      </c>
      <c r="B7" s="1">
        <v>961521</v>
      </c>
    </row>
    <row r="8" spans="1:2" x14ac:dyDescent="0.3">
      <c r="A8" s="3">
        <v>5</v>
      </c>
      <c r="B8" s="1">
        <v>12473300</v>
      </c>
    </row>
    <row r="9" spans="1:2" x14ac:dyDescent="0.3">
      <c r="A9" s="3">
        <v>6</v>
      </c>
      <c r="B9" s="1">
        <v>2197890</v>
      </c>
    </row>
    <row r="10" spans="1:2" x14ac:dyDescent="0.3">
      <c r="A10" s="3" t="s">
        <v>337</v>
      </c>
      <c r="B10" s="1">
        <v>21465433</v>
      </c>
    </row>
    <row r="32" spans="1:2" x14ac:dyDescent="0.3">
      <c r="A32" s="2" t="s">
        <v>336</v>
      </c>
      <c r="B32" t="s">
        <v>340</v>
      </c>
    </row>
    <row r="33" spans="1:2" x14ac:dyDescent="0.3">
      <c r="A33" s="3">
        <v>1</v>
      </c>
      <c r="B33" s="1">
        <v>10</v>
      </c>
    </row>
    <row r="34" spans="1:2" x14ac:dyDescent="0.3">
      <c r="A34" s="3">
        <v>2</v>
      </c>
      <c r="B34" s="1">
        <v>1</v>
      </c>
    </row>
    <row r="35" spans="1:2" x14ac:dyDescent="0.3">
      <c r="A35" s="3">
        <v>3</v>
      </c>
      <c r="B35" s="1">
        <v>50</v>
      </c>
    </row>
    <row r="36" spans="1:2" x14ac:dyDescent="0.3">
      <c r="A36" s="3">
        <v>4</v>
      </c>
      <c r="B36" s="1">
        <v>10</v>
      </c>
    </row>
    <row r="37" spans="1:2" x14ac:dyDescent="0.3">
      <c r="A37" s="3">
        <v>5</v>
      </c>
      <c r="B37" s="1">
        <v>208</v>
      </c>
    </row>
    <row r="38" spans="1:2" x14ac:dyDescent="0.3">
      <c r="A38" s="3">
        <v>6</v>
      </c>
      <c r="B38" s="1">
        <v>32</v>
      </c>
    </row>
    <row r="39" spans="1:2" x14ac:dyDescent="0.3">
      <c r="A39" s="3" t="s">
        <v>337</v>
      </c>
      <c r="B39" s="1">
        <v>311</v>
      </c>
    </row>
    <row r="50" spans="1:2" x14ac:dyDescent="0.3">
      <c r="A50" s="2" t="s">
        <v>336</v>
      </c>
      <c r="B50" t="s">
        <v>340</v>
      </c>
    </row>
    <row r="51" spans="1:2" x14ac:dyDescent="0.3">
      <c r="A51" s="3" t="s">
        <v>17</v>
      </c>
      <c r="B51" s="1">
        <v>176</v>
      </c>
    </row>
    <row r="52" spans="1:2" x14ac:dyDescent="0.3">
      <c r="A52" s="3" t="s">
        <v>12</v>
      </c>
      <c r="B52" s="1">
        <v>135</v>
      </c>
    </row>
    <row r="53" spans="1:2" x14ac:dyDescent="0.3">
      <c r="A53" s="3" t="s">
        <v>337</v>
      </c>
      <c r="B53" s="1">
        <v>311</v>
      </c>
    </row>
    <row r="68" spans="1:2" x14ac:dyDescent="0.3">
      <c r="A68" s="2" t="s">
        <v>336</v>
      </c>
      <c r="B68" t="s">
        <v>338</v>
      </c>
    </row>
    <row r="69" spans="1:2" x14ac:dyDescent="0.3">
      <c r="A69" s="3">
        <v>1</v>
      </c>
      <c r="B69" s="1">
        <v>30</v>
      </c>
    </row>
    <row r="70" spans="1:2" x14ac:dyDescent="0.3">
      <c r="A70" s="3">
        <v>2</v>
      </c>
      <c r="B70" s="1">
        <v>3</v>
      </c>
    </row>
    <row r="71" spans="1:2" x14ac:dyDescent="0.3">
      <c r="A71" s="3">
        <v>3</v>
      </c>
      <c r="B71" s="1">
        <v>153</v>
      </c>
    </row>
    <row r="72" spans="1:2" x14ac:dyDescent="0.3">
      <c r="A72" s="3">
        <v>4</v>
      </c>
      <c r="B72" s="1">
        <v>31</v>
      </c>
    </row>
    <row r="73" spans="1:2" x14ac:dyDescent="0.3">
      <c r="A73" s="3">
        <v>5</v>
      </c>
      <c r="B73" s="1">
        <v>620</v>
      </c>
    </row>
    <row r="74" spans="1:2" x14ac:dyDescent="0.3">
      <c r="A74" s="3">
        <v>6</v>
      </c>
      <c r="B74" s="1">
        <v>89</v>
      </c>
    </row>
    <row r="75" spans="1:2" x14ac:dyDescent="0.3">
      <c r="A75" s="3" t="s">
        <v>337</v>
      </c>
      <c r="B75" s="1">
        <v>926</v>
      </c>
    </row>
    <row r="91" spans="1:2" x14ac:dyDescent="0.3">
      <c r="A91" s="2" t="s">
        <v>336</v>
      </c>
      <c r="B91" t="s">
        <v>341</v>
      </c>
    </row>
    <row r="92" spans="1:2" x14ac:dyDescent="0.3">
      <c r="A92" s="3">
        <v>1</v>
      </c>
      <c r="B92" s="1">
        <v>72949</v>
      </c>
    </row>
    <row r="93" spans="1:2" x14ac:dyDescent="0.3">
      <c r="A93" s="3">
        <v>2</v>
      </c>
      <c r="B93" s="1">
        <v>250000</v>
      </c>
    </row>
    <row r="94" spans="1:2" x14ac:dyDescent="0.3">
      <c r="A94" s="3">
        <v>3</v>
      </c>
      <c r="B94" s="1">
        <v>97064.639999999999</v>
      </c>
    </row>
    <row r="95" spans="1:2" x14ac:dyDescent="0.3">
      <c r="A95" s="3">
        <v>4</v>
      </c>
      <c r="B95" s="1">
        <v>96152.1</v>
      </c>
    </row>
    <row r="96" spans="1:2" x14ac:dyDescent="0.3">
      <c r="A96" s="3">
        <v>5</v>
      </c>
      <c r="B96" s="1">
        <v>59967.788461538461</v>
      </c>
    </row>
    <row r="97" spans="1:2" x14ac:dyDescent="0.3">
      <c r="A97" s="3">
        <v>6</v>
      </c>
      <c r="B97" s="1">
        <v>68684.0625</v>
      </c>
    </row>
    <row r="98" spans="1:2" x14ac:dyDescent="0.3">
      <c r="A98" s="3" t="s">
        <v>337</v>
      </c>
      <c r="B98" s="1">
        <v>69020.684887459807</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247C5-5044-4D60-BEFC-EDE62753EA84}">
  <dimension ref="A1:W33"/>
  <sheetViews>
    <sheetView tabSelected="1" workbookViewId="0">
      <selection activeCell="V24" sqref="V24"/>
    </sheetView>
  </sheetViews>
  <sheetFormatPr defaultRowHeight="14.4" x14ac:dyDescent="0.3"/>
  <sheetData>
    <row r="1" spans="1:23" x14ac:dyDescent="0.3">
      <c r="A1" s="5" t="s">
        <v>342</v>
      </c>
      <c r="B1" s="6"/>
      <c r="C1" s="6"/>
      <c r="D1" s="6"/>
      <c r="E1" s="6"/>
      <c r="F1" s="6"/>
      <c r="G1" s="6"/>
      <c r="H1" s="6"/>
      <c r="I1" s="6"/>
      <c r="J1" s="6"/>
      <c r="K1" s="6"/>
      <c r="L1" s="6"/>
      <c r="M1" s="6"/>
      <c r="N1" s="6"/>
      <c r="O1" s="6"/>
      <c r="P1" s="6"/>
      <c r="Q1" s="6"/>
      <c r="R1" s="6"/>
      <c r="S1" s="6"/>
      <c r="T1" s="6"/>
      <c r="U1" s="6"/>
      <c r="V1" s="6"/>
      <c r="W1" s="6"/>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row r="31" spans="1:23" x14ac:dyDescent="0.3">
      <c r="A31" s="4"/>
      <c r="B31" s="4"/>
      <c r="C31" s="4"/>
      <c r="D31" s="4"/>
      <c r="E31" s="4"/>
      <c r="F31" s="4"/>
      <c r="G31" s="4"/>
      <c r="H31" s="4"/>
      <c r="I31" s="4"/>
      <c r="J31" s="4"/>
      <c r="K31" s="4"/>
      <c r="L31" s="4"/>
      <c r="M31" s="4"/>
      <c r="N31" s="4"/>
      <c r="O31" s="4"/>
      <c r="P31" s="4"/>
      <c r="Q31" s="4"/>
      <c r="R31" s="4"/>
      <c r="S31" s="4"/>
      <c r="T31" s="4"/>
      <c r="U31" s="4"/>
      <c r="V31" s="4"/>
      <c r="W31" s="4"/>
    </row>
    <row r="32" spans="1:23" x14ac:dyDescent="0.3">
      <c r="A32" s="4"/>
      <c r="B32" s="4"/>
      <c r="C32" s="4"/>
      <c r="D32" s="4"/>
      <c r="E32" s="4"/>
      <c r="F32" s="4"/>
      <c r="G32" s="4"/>
      <c r="H32" s="4"/>
      <c r="I32" s="4"/>
      <c r="J32" s="4"/>
      <c r="K32" s="4"/>
      <c r="L32" s="4"/>
      <c r="M32" s="4"/>
      <c r="N32" s="4"/>
      <c r="O32" s="4"/>
      <c r="P32" s="4"/>
      <c r="Q32" s="4"/>
      <c r="R32" s="4"/>
      <c r="S32" s="4"/>
      <c r="T32" s="4"/>
      <c r="U32" s="4"/>
      <c r="V32" s="4"/>
      <c r="W32" s="4"/>
    </row>
    <row r="33" spans="1:23" x14ac:dyDescent="0.3">
      <c r="A33" s="4"/>
      <c r="B33" s="4"/>
      <c r="C33" s="4"/>
      <c r="D33" s="4"/>
      <c r="E33" s="4"/>
      <c r="F33" s="4"/>
      <c r="G33" s="4"/>
      <c r="H33" s="4"/>
      <c r="I33" s="4"/>
      <c r="J33" s="4"/>
      <c r="K33" s="4"/>
      <c r="L33" s="4"/>
      <c r="M33" s="4"/>
      <c r="N33" s="4"/>
      <c r="O33" s="4"/>
      <c r="P33" s="4"/>
      <c r="Q33" s="4"/>
      <c r="R33" s="4"/>
      <c r="S33" s="4"/>
      <c r="T33" s="4"/>
      <c r="U33" s="4"/>
      <c r="V33" s="4"/>
      <c r="W33" s="4"/>
    </row>
  </sheetData>
  <mergeCells count="1">
    <mergeCell ref="A1: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688AF-261A-4DC5-A621-76C17481D16F}">
  <dimension ref="A1:K312"/>
  <sheetViews>
    <sheetView topLeftCell="A2" workbookViewId="0">
      <selection sqref="A1:K312"/>
    </sheetView>
  </sheetViews>
  <sheetFormatPr defaultRowHeight="14.4" x14ac:dyDescent="0.3"/>
  <cols>
    <col min="1" max="1" width="21.44140625" bestFit="1" customWidth="1"/>
    <col min="2" max="2" width="8.77734375" bestFit="1" customWidth="1"/>
    <col min="3" max="3" width="11.44140625" bestFit="1" customWidth="1"/>
    <col min="4" max="4" width="16.33203125" bestFit="1" customWidth="1"/>
    <col min="5" max="5" width="11.109375" bestFit="1" customWidth="1"/>
    <col min="6" max="6" width="14.109375" bestFit="1" customWidth="1"/>
    <col min="7" max="7" width="9" bestFit="1" customWidth="1"/>
    <col min="8" max="8" width="13.109375" bestFit="1" customWidth="1"/>
    <col min="9" max="9" width="22.88671875" bestFit="1" customWidth="1"/>
    <col min="10" max="10" width="8.44140625" bestFit="1" customWidth="1"/>
    <col min="11" max="11" width="14.44140625" bestFit="1" customWidth="1"/>
  </cols>
  <sheetData>
    <row r="1" spans="1:11" x14ac:dyDescent="0.3">
      <c r="A1" t="s">
        <v>0</v>
      </c>
      <c r="B1" t="s">
        <v>1</v>
      </c>
      <c r="C1" t="s">
        <v>2</v>
      </c>
      <c r="D1" t="s">
        <v>3</v>
      </c>
      <c r="E1" t="s">
        <v>4</v>
      </c>
      <c r="F1" t="s">
        <v>5</v>
      </c>
      <c r="G1" t="s">
        <v>6</v>
      </c>
      <c r="H1" t="s">
        <v>7</v>
      </c>
      <c r="I1" t="s">
        <v>8</v>
      </c>
      <c r="J1" t="s">
        <v>9</v>
      </c>
      <c r="K1" t="s">
        <v>335</v>
      </c>
    </row>
    <row r="2" spans="1:11" x14ac:dyDescent="0.3">
      <c r="A2" s="1" t="s">
        <v>10</v>
      </c>
      <c r="B2">
        <v>10026</v>
      </c>
      <c r="C2" s="1" t="s">
        <v>11</v>
      </c>
      <c r="D2" s="1" t="s">
        <v>11</v>
      </c>
      <c r="E2" s="1" t="s">
        <v>12</v>
      </c>
      <c r="F2" s="1" t="s">
        <v>13</v>
      </c>
      <c r="G2">
        <v>5</v>
      </c>
      <c r="H2">
        <v>4</v>
      </c>
      <c r="I2" s="1" t="s">
        <v>14</v>
      </c>
      <c r="J2">
        <v>62506</v>
      </c>
      <c r="K2">
        <f>HRDataset_v14_selected_columns[[#This Row],[Salary]]*12</f>
        <v>750072</v>
      </c>
    </row>
    <row r="3" spans="1:11" x14ac:dyDescent="0.3">
      <c r="A3" s="1" t="s">
        <v>15</v>
      </c>
      <c r="B3">
        <v>10088</v>
      </c>
      <c r="C3" s="1" t="s">
        <v>16</v>
      </c>
      <c r="D3" s="1" t="s">
        <v>16</v>
      </c>
      <c r="E3" s="1" t="s">
        <v>17</v>
      </c>
      <c r="F3" s="1" t="s">
        <v>13</v>
      </c>
      <c r="G3">
        <v>5</v>
      </c>
      <c r="H3">
        <v>3</v>
      </c>
      <c r="I3" s="1" t="s">
        <v>14</v>
      </c>
      <c r="J3">
        <v>64991</v>
      </c>
      <c r="K3">
        <f>HRDataset_v14_selected_columns[[#This Row],[Salary]]*12</f>
        <v>779892</v>
      </c>
    </row>
    <row r="4" spans="1:11" x14ac:dyDescent="0.3">
      <c r="A4" s="1" t="s">
        <v>18</v>
      </c>
      <c r="B4">
        <v>10002</v>
      </c>
      <c r="C4" s="1" t="s">
        <v>11</v>
      </c>
      <c r="D4" s="1" t="s">
        <v>11</v>
      </c>
      <c r="E4" s="1" t="s">
        <v>17</v>
      </c>
      <c r="F4" s="1" t="s">
        <v>13</v>
      </c>
      <c r="G4">
        <v>5</v>
      </c>
      <c r="H4">
        <v>4</v>
      </c>
      <c r="I4" s="1" t="s">
        <v>14</v>
      </c>
      <c r="J4">
        <v>57568</v>
      </c>
      <c r="K4">
        <f>HRDataset_v14_selected_columns[[#This Row],[Salary]]*12</f>
        <v>690816</v>
      </c>
    </row>
    <row r="5" spans="1:11" x14ac:dyDescent="0.3">
      <c r="A5" s="1" t="s">
        <v>19</v>
      </c>
      <c r="B5">
        <v>10062</v>
      </c>
      <c r="C5" s="1" t="s">
        <v>11</v>
      </c>
      <c r="D5" s="1" t="s">
        <v>20</v>
      </c>
      <c r="E5" s="1" t="s">
        <v>12</v>
      </c>
      <c r="F5" s="1" t="s">
        <v>13</v>
      </c>
      <c r="G5">
        <v>5</v>
      </c>
      <c r="H5">
        <v>3</v>
      </c>
      <c r="I5" s="1" t="s">
        <v>14</v>
      </c>
      <c r="J5">
        <v>59365</v>
      </c>
      <c r="K5">
        <f>HRDataset_v14_selected_columns[[#This Row],[Salary]]*12</f>
        <v>712380</v>
      </c>
    </row>
    <row r="6" spans="1:11" x14ac:dyDescent="0.3">
      <c r="A6" s="1" t="s">
        <v>21</v>
      </c>
      <c r="B6">
        <v>10265</v>
      </c>
      <c r="C6" s="1" t="s">
        <v>11</v>
      </c>
      <c r="D6" s="1" t="s">
        <v>11</v>
      </c>
      <c r="E6" s="1" t="s">
        <v>12</v>
      </c>
      <c r="F6" s="1" t="s">
        <v>13</v>
      </c>
      <c r="G6">
        <v>5</v>
      </c>
      <c r="H6">
        <v>3</v>
      </c>
      <c r="I6" s="1" t="s">
        <v>14</v>
      </c>
      <c r="J6">
        <v>58709</v>
      </c>
      <c r="K6">
        <f>HRDataset_v14_selected_columns[[#This Row],[Salary]]*12</f>
        <v>704508</v>
      </c>
    </row>
    <row r="7" spans="1:11" x14ac:dyDescent="0.3">
      <c r="A7" s="1" t="s">
        <v>22</v>
      </c>
      <c r="B7">
        <v>10055</v>
      </c>
      <c r="C7" s="1" t="s">
        <v>11</v>
      </c>
      <c r="D7" s="1" t="s">
        <v>11</v>
      </c>
      <c r="E7" s="1" t="s">
        <v>17</v>
      </c>
      <c r="F7" s="1" t="s">
        <v>13</v>
      </c>
      <c r="G7">
        <v>5</v>
      </c>
      <c r="H7">
        <v>3</v>
      </c>
      <c r="I7" s="1" t="s">
        <v>14</v>
      </c>
      <c r="J7">
        <v>59026</v>
      </c>
      <c r="K7">
        <f>HRDataset_v14_selected_columns[[#This Row],[Salary]]*12</f>
        <v>708312</v>
      </c>
    </row>
    <row r="8" spans="1:11" x14ac:dyDescent="0.3">
      <c r="A8" s="1" t="s">
        <v>23</v>
      </c>
      <c r="B8">
        <v>10046</v>
      </c>
      <c r="C8" s="1" t="s">
        <v>11</v>
      </c>
      <c r="D8" s="1" t="s">
        <v>11</v>
      </c>
      <c r="E8" s="1" t="s">
        <v>12</v>
      </c>
      <c r="F8" s="1" t="s">
        <v>13</v>
      </c>
      <c r="G8">
        <v>5</v>
      </c>
      <c r="H8">
        <v>3</v>
      </c>
      <c r="I8" s="1" t="s">
        <v>14</v>
      </c>
      <c r="J8">
        <v>51044</v>
      </c>
      <c r="K8">
        <f>HRDataset_v14_selected_columns[[#This Row],[Salary]]*12</f>
        <v>612528</v>
      </c>
    </row>
    <row r="9" spans="1:11" x14ac:dyDescent="0.3">
      <c r="A9" s="1" t="s">
        <v>24</v>
      </c>
      <c r="B9">
        <v>10226</v>
      </c>
      <c r="C9" s="1" t="s">
        <v>11</v>
      </c>
      <c r="D9" s="1" t="s">
        <v>25</v>
      </c>
      <c r="E9" s="1" t="s">
        <v>17</v>
      </c>
      <c r="F9" s="1" t="s">
        <v>13</v>
      </c>
      <c r="G9">
        <v>5</v>
      </c>
      <c r="H9">
        <v>3</v>
      </c>
      <c r="I9" s="1" t="s">
        <v>14</v>
      </c>
      <c r="J9">
        <v>64919</v>
      </c>
      <c r="K9">
        <f>HRDataset_v14_selected_columns[[#This Row],[Salary]]*12</f>
        <v>779028</v>
      </c>
    </row>
    <row r="10" spans="1:11" x14ac:dyDescent="0.3">
      <c r="A10" s="1" t="s">
        <v>26</v>
      </c>
      <c r="B10">
        <v>10003</v>
      </c>
      <c r="C10" s="1" t="s">
        <v>16</v>
      </c>
      <c r="D10" s="1" t="s">
        <v>16</v>
      </c>
      <c r="E10" s="1" t="s">
        <v>17</v>
      </c>
      <c r="F10" s="1" t="s">
        <v>13</v>
      </c>
      <c r="G10">
        <v>5</v>
      </c>
      <c r="H10">
        <v>4</v>
      </c>
      <c r="I10" s="1" t="s">
        <v>14</v>
      </c>
      <c r="J10">
        <v>62910</v>
      </c>
      <c r="K10">
        <f>HRDataset_v14_selected_columns[[#This Row],[Salary]]*12</f>
        <v>754920</v>
      </c>
    </row>
    <row r="11" spans="1:11" x14ac:dyDescent="0.3">
      <c r="A11" s="1" t="s">
        <v>27</v>
      </c>
      <c r="B11">
        <v>10294</v>
      </c>
      <c r="C11" s="1" t="s">
        <v>11</v>
      </c>
      <c r="D11" s="1" t="s">
        <v>11</v>
      </c>
      <c r="E11" s="1" t="s">
        <v>17</v>
      </c>
      <c r="F11" s="1" t="s">
        <v>13</v>
      </c>
      <c r="G11">
        <v>5</v>
      </c>
      <c r="H11">
        <v>2</v>
      </c>
      <c r="I11" s="1" t="s">
        <v>14</v>
      </c>
      <c r="J11">
        <v>66441</v>
      </c>
      <c r="K11">
        <f>HRDataset_v14_selected_columns[[#This Row],[Salary]]*12</f>
        <v>797292</v>
      </c>
    </row>
    <row r="12" spans="1:11" x14ac:dyDescent="0.3">
      <c r="A12" s="1" t="s">
        <v>28</v>
      </c>
      <c r="B12">
        <v>10184</v>
      </c>
      <c r="C12" s="1" t="s">
        <v>11</v>
      </c>
      <c r="D12" s="1" t="s">
        <v>11</v>
      </c>
      <c r="E12" s="1" t="s">
        <v>12</v>
      </c>
      <c r="F12" s="1" t="s">
        <v>13</v>
      </c>
      <c r="G12">
        <v>5</v>
      </c>
      <c r="H12">
        <v>3</v>
      </c>
      <c r="I12" s="1" t="s">
        <v>14</v>
      </c>
      <c r="J12">
        <v>65288</v>
      </c>
      <c r="K12">
        <f>HRDataset_v14_selected_columns[[#This Row],[Salary]]*12</f>
        <v>783456</v>
      </c>
    </row>
    <row r="13" spans="1:11" x14ac:dyDescent="0.3">
      <c r="A13" s="1" t="s">
        <v>29</v>
      </c>
      <c r="B13">
        <v>10107</v>
      </c>
      <c r="C13" s="1" t="s">
        <v>11</v>
      </c>
      <c r="D13" s="1" t="s">
        <v>11</v>
      </c>
      <c r="E13" s="1" t="s">
        <v>17</v>
      </c>
      <c r="F13" s="1" t="s">
        <v>13</v>
      </c>
      <c r="G13">
        <v>5</v>
      </c>
      <c r="H13">
        <v>3</v>
      </c>
      <c r="I13" s="1" t="s">
        <v>14</v>
      </c>
      <c r="J13">
        <v>63763</v>
      </c>
      <c r="K13">
        <f>HRDataset_v14_selected_columns[[#This Row],[Salary]]*12</f>
        <v>765156</v>
      </c>
    </row>
    <row r="14" spans="1:11" x14ac:dyDescent="0.3">
      <c r="A14" s="1" t="s">
        <v>30</v>
      </c>
      <c r="B14">
        <v>10181</v>
      </c>
      <c r="C14" s="1" t="s">
        <v>16</v>
      </c>
      <c r="D14" s="1" t="s">
        <v>16</v>
      </c>
      <c r="E14" s="1" t="s">
        <v>12</v>
      </c>
      <c r="F14" s="1" t="s">
        <v>13</v>
      </c>
      <c r="G14">
        <v>5</v>
      </c>
      <c r="H14">
        <v>3</v>
      </c>
      <c r="I14" s="1" t="s">
        <v>14</v>
      </c>
      <c r="J14">
        <v>62162</v>
      </c>
      <c r="K14">
        <f>HRDataset_v14_selected_columns[[#This Row],[Salary]]*12</f>
        <v>745944</v>
      </c>
    </row>
    <row r="15" spans="1:11" x14ac:dyDescent="0.3">
      <c r="A15" s="1" t="s">
        <v>31</v>
      </c>
      <c r="B15">
        <v>10001</v>
      </c>
      <c r="C15" s="1" t="s">
        <v>11</v>
      </c>
      <c r="D15" s="1" t="s">
        <v>11</v>
      </c>
      <c r="E15" s="1" t="s">
        <v>12</v>
      </c>
      <c r="F15" s="1" t="s">
        <v>13</v>
      </c>
      <c r="G15">
        <v>5</v>
      </c>
      <c r="H15">
        <v>4</v>
      </c>
      <c r="I15" s="1" t="s">
        <v>14</v>
      </c>
      <c r="J15">
        <v>72640</v>
      </c>
      <c r="K15">
        <f>HRDataset_v14_selected_columns[[#This Row],[Salary]]*12</f>
        <v>871680</v>
      </c>
    </row>
    <row r="16" spans="1:11" x14ac:dyDescent="0.3">
      <c r="A16" s="1" t="s">
        <v>32</v>
      </c>
      <c r="B16">
        <v>10115</v>
      </c>
      <c r="C16" s="1" t="s">
        <v>11</v>
      </c>
      <c r="D16" s="1" t="s">
        <v>11</v>
      </c>
      <c r="E16" s="1" t="s">
        <v>12</v>
      </c>
      <c r="F16" s="1" t="s">
        <v>13</v>
      </c>
      <c r="G16">
        <v>5</v>
      </c>
      <c r="H16">
        <v>3</v>
      </c>
      <c r="I16" s="1" t="s">
        <v>14</v>
      </c>
      <c r="J16">
        <v>52846</v>
      </c>
      <c r="K16">
        <f>HRDataset_v14_selected_columns[[#This Row],[Salary]]*12</f>
        <v>634152</v>
      </c>
    </row>
    <row r="17" spans="1:11" x14ac:dyDescent="0.3">
      <c r="A17" s="1" t="s">
        <v>33</v>
      </c>
      <c r="B17">
        <v>10067</v>
      </c>
      <c r="C17" s="1" t="s">
        <v>11</v>
      </c>
      <c r="D17" s="1" t="s">
        <v>11</v>
      </c>
      <c r="E17" s="1" t="s">
        <v>17</v>
      </c>
      <c r="F17" s="1" t="s">
        <v>13</v>
      </c>
      <c r="G17">
        <v>5</v>
      </c>
      <c r="H17">
        <v>3</v>
      </c>
      <c r="I17" s="1" t="s">
        <v>14</v>
      </c>
      <c r="J17">
        <v>61656</v>
      </c>
      <c r="K17">
        <f>HRDataset_v14_selected_columns[[#This Row],[Salary]]*12</f>
        <v>739872</v>
      </c>
    </row>
    <row r="18" spans="1:11" x14ac:dyDescent="0.3">
      <c r="A18" s="1" t="s">
        <v>34</v>
      </c>
      <c r="B18">
        <v>10210</v>
      </c>
      <c r="C18" s="1" t="s">
        <v>11</v>
      </c>
      <c r="D18" s="1" t="s">
        <v>11</v>
      </c>
      <c r="E18" s="1" t="s">
        <v>17</v>
      </c>
      <c r="F18" s="1" t="s">
        <v>13</v>
      </c>
      <c r="G18">
        <v>5</v>
      </c>
      <c r="H18">
        <v>3</v>
      </c>
      <c r="I18" s="1" t="s">
        <v>14</v>
      </c>
      <c r="J18">
        <v>54237</v>
      </c>
      <c r="K18">
        <f>HRDataset_v14_selected_columns[[#This Row],[Salary]]*12</f>
        <v>650844</v>
      </c>
    </row>
    <row r="19" spans="1:11" x14ac:dyDescent="0.3">
      <c r="A19" s="1" t="s">
        <v>35</v>
      </c>
      <c r="B19">
        <v>10154</v>
      </c>
      <c r="C19" s="1" t="s">
        <v>11</v>
      </c>
      <c r="D19" s="1" t="s">
        <v>11</v>
      </c>
      <c r="E19" s="1" t="s">
        <v>12</v>
      </c>
      <c r="F19" s="1" t="s">
        <v>13</v>
      </c>
      <c r="G19">
        <v>5</v>
      </c>
      <c r="H19">
        <v>3</v>
      </c>
      <c r="I19" s="1" t="s">
        <v>14</v>
      </c>
      <c r="J19">
        <v>60380</v>
      </c>
      <c r="K19">
        <f>HRDataset_v14_selected_columns[[#This Row],[Salary]]*12</f>
        <v>724560</v>
      </c>
    </row>
    <row r="20" spans="1:11" x14ac:dyDescent="0.3">
      <c r="A20" s="1" t="s">
        <v>36</v>
      </c>
      <c r="B20">
        <v>10168</v>
      </c>
      <c r="C20" s="1" t="s">
        <v>11</v>
      </c>
      <c r="D20" s="1" t="s">
        <v>11</v>
      </c>
      <c r="E20" s="1" t="s">
        <v>17</v>
      </c>
      <c r="F20" s="1" t="s">
        <v>13</v>
      </c>
      <c r="G20">
        <v>5</v>
      </c>
      <c r="H20">
        <v>3</v>
      </c>
      <c r="I20" s="1" t="s">
        <v>14</v>
      </c>
      <c r="J20">
        <v>64816</v>
      </c>
      <c r="K20">
        <f>HRDataset_v14_selected_columns[[#This Row],[Salary]]*12</f>
        <v>777792</v>
      </c>
    </row>
    <row r="21" spans="1:11" x14ac:dyDescent="0.3">
      <c r="A21" s="1" t="s">
        <v>37</v>
      </c>
      <c r="B21">
        <v>10261</v>
      </c>
      <c r="C21" s="1" t="s">
        <v>11</v>
      </c>
      <c r="D21" s="1" t="s">
        <v>11</v>
      </c>
      <c r="E21" s="1" t="s">
        <v>12</v>
      </c>
      <c r="F21" s="1" t="s">
        <v>13</v>
      </c>
      <c r="G21">
        <v>5</v>
      </c>
      <c r="H21">
        <v>3</v>
      </c>
      <c r="I21" s="1" t="s">
        <v>14</v>
      </c>
      <c r="J21">
        <v>63108</v>
      </c>
      <c r="K21">
        <f>HRDataset_v14_selected_columns[[#This Row],[Salary]]*12</f>
        <v>757296</v>
      </c>
    </row>
    <row r="22" spans="1:11" x14ac:dyDescent="0.3">
      <c r="A22" s="1" t="s">
        <v>38</v>
      </c>
      <c r="B22">
        <v>10282</v>
      </c>
      <c r="C22" s="1" t="s">
        <v>11</v>
      </c>
      <c r="D22" s="1" t="s">
        <v>25</v>
      </c>
      <c r="E22" s="1" t="s">
        <v>12</v>
      </c>
      <c r="F22" s="1" t="s">
        <v>13</v>
      </c>
      <c r="G22">
        <v>5</v>
      </c>
      <c r="H22">
        <v>2</v>
      </c>
      <c r="I22" s="1" t="s">
        <v>14</v>
      </c>
      <c r="J22">
        <v>68051</v>
      </c>
      <c r="K22">
        <f>HRDataset_v14_selected_columns[[#This Row],[Salary]]*12</f>
        <v>816612</v>
      </c>
    </row>
    <row r="23" spans="1:11" x14ac:dyDescent="0.3">
      <c r="A23" s="1" t="s">
        <v>39</v>
      </c>
      <c r="B23">
        <v>10019</v>
      </c>
      <c r="C23" s="1" t="s">
        <v>11</v>
      </c>
      <c r="D23" s="1" t="s">
        <v>11</v>
      </c>
      <c r="E23" s="1" t="s">
        <v>12</v>
      </c>
      <c r="F23" s="1" t="s">
        <v>13</v>
      </c>
      <c r="G23">
        <v>5</v>
      </c>
      <c r="H23">
        <v>4</v>
      </c>
      <c r="I23" s="1" t="s">
        <v>14</v>
      </c>
      <c r="J23">
        <v>170500</v>
      </c>
      <c r="K23">
        <f>HRDataset_v14_selected_columns[[#This Row],[Salary]]*12</f>
        <v>2046000</v>
      </c>
    </row>
    <row r="24" spans="1:11" x14ac:dyDescent="0.3">
      <c r="A24" s="1" t="s">
        <v>40</v>
      </c>
      <c r="B24">
        <v>10094</v>
      </c>
      <c r="C24" s="1" t="s">
        <v>16</v>
      </c>
      <c r="D24" s="1" t="s">
        <v>16</v>
      </c>
      <c r="E24" s="1" t="s">
        <v>17</v>
      </c>
      <c r="F24" s="1" t="s">
        <v>13</v>
      </c>
      <c r="G24">
        <v>5</v>
      </c>
      <c r="H24">
        <v>3</v>
      </c>
      <c r="I24" s="1" t="s">
        <v>14</v>
      </c>
      <c r="J24">
        <v>63381</v>
      </c>
      <c r="K24">
        <f>HRDataset_v14_selected_columns[[#This Row],[Salary]]*12</f>
        <v>760572</v>
      </c>
    </row>
    <row r="25" spans="1:11" x14ac:dyDescent="0.3">
      <c r="A25" s="1" t="s">
        <v>41</v>
      </c>
      <c r="B25">
        <v>10056</v>
      </c>
      <c r="C25" s="1" t="s">
        <v>16</v>
      </c>
      <c r="D25" s="1" t="s">
        <v>16</v>
      </c>
      <c r="E25" s="1" t="s">
        <v>17</v>
      </c>
      <c r="F25" s="1" t="s">
        <v>13</v>
      </c>
      <c r="G25">
        <v>5</v>
      </c>
      <c r="H25">
        <v>3</v>
      </c>
      <c r="I25" s="1" t="s">
        <v>14</v>
      </c>
      <c r="J25">
        <v>57583</v>
      </c>
      <c r="K25">
        <f>HRDataset_v14_selected_columns[[#This Row],[Salary]]*12</f>
        <v>690996</v>
      </c>
    </row>
    <row r="26" spans="1:11" x14ac:dyDescent="0.3">
      <c r="A26" s="1" t="s">
        <v>42</v>
      </c>
      <c r="B26">
        <v>10143</v>
      </c>
      <c r="C26" s="1" t="s">
        <v>11</v>
      </c>
      <c r="D26" s="1" t="s">
        <v>11</v>
      </c>
      <c r="E26" s="1" t="s">
        <v>12</v>
      </c>
      <c r="F26" s="1" t="s">
        <v>13</v>
      </c>
      <c r="G26">
        <v>5</v>
      </c>
      <c r="H26">
        <v>3</v>
      </c>
      <c r="I26" s="1" t="s">
        <v>14</v>
      </c>
      <c r="J26">
        <v>56294</v>
      </c>
      <c r="K26">
        <f>HRDataset_v14_selected_columns[[#This Row],[Salary]]*12</f>
        <v>675528</v>
      </c>
    </row>
    <row r="27" spans="1:11" x14ac:dyDescent="0.3">
      <c r="A27" s="1" t="s">
        <v>43</v>
      </c>
      <c r="B27">
        <v>10310</v>
      </c>
      <c r="C27" s="1" t="s">
        <v>16</v>
      </c>
      <c r="D27" s="1" t="s">
        <v>16</v>
      </c>
      <c r="E27" s="1" t="s">
        <v>12</v>
      </c>
      <c r="F27" s="1" t="s">
        <v>13</v>
      </c>
      <c r="G27">
        <v>5</v>
      </c>
      <c r="H27">
        <v>1</v>
      </c>
      <c r="I27" s="1" t="s">
        <v>14</v>
      </c>
      <c r="J27">
        <v>53189</v>
      </c>
      <c r="K27">
        <f>HRDataset_v14_selected_columns[[#This Row],[Salary]]*12</f>
        <v>638268</v>
      </c>
    </row>
    <row r="28" spans="1:11" x14ac:dyDescent="0.3">
      <c r="A28" s="1" t="s">
        <v>44</v>
      </c>
      <c r="B28">
        <v>10276</v>
      </c>
      <c r="C28" s="1" t="s">
        <v>11</v>
      </c>
      <c r="D28" s="1" t="s">
        <v>11</v>
      </c>
      <c r="E28" s="1" t="s">
        <v>12</v>
      </c>
      <c r="F28" s="1" t="s">
        <v>13</v>
      </c>
      <c r="G28">
        <v>5</v>
      </c>
      <c r="H28">
        <v>3</v>
      </c>
      <c r="I28" s="1" t="s">
        <v>14</v>
      </c>
      <c r="J28">
        <v>51259</v>
      </c>
      <c r="K28">
        <f>HRDataset_v14_selected_columns[[#This Row],[Salary]]*12</f>
        <v>615108</v>
      </c>
    </row>
    <row r="29" spans="1:11" x14ac:dyDescent="0.3">
      <c r="A29" s="1" t="s">
        <v>45</v>
      </c>
      <c r="B29">
        <v>10284</v>
      </c>
      <c r="C29" s="1" t="s">
        <v>16</v>
      </c>
      <c r="D29" s="1" t="s">
        <v>16</v>
      </c>
      <c r="E29" s="1" t="s">
        <v>17</v>
      </c>
      <c r="F29" s="1" t="s">
        <v>13</v>
      </c>
      <c r="G29">
        <v>5</v>
      </c>
      <c r="H29">
        <v>2</v>
      </c>
      <c r="I29" s="1" t="s">
        <v>14</v>
      </c>
      <c r="J29">
        <v>61584</v>
      </c>
      <c r="K29">
        <f>HRDataset_v14_selected_columns[[#This Row],[Salary]]*12</f>
        <v>739008</v>
      </c>
    </row>
    <row r="30" spans="1:11" x14ac:dyDescent="0.3">
      <c r="A30" s="1" t="s">
        <v>46</v>
      </c>
      <c r="B30">
        <v>10207</v>
      </c>
      <c r="C30" s="1" t="s">
        <v>11</v>
      </c>
      <c r="D30" s="1" t="s">
        <v>11</v>
      </c>
      <c r="E30" s="1" t="s">
        <v>17</v>
      </c>
      <c r="F30" s="1" t="s">
        <v>13</v>
      </c>
      <c r="G30">
        <v>5</v>
      </c>
      <c r="H30">
        <v>3</v>
      </c>
      <c r="I30" s="1" t="s">
        <v>14</v>
      </c>
      <c r="J30">
        <v>46335</v>
      </c>
      <c r="K30">
        <f>HRDataset_v14_selected_columns[[#This Row],[Salary]]*12</f>
        <v>556020</v>
      </c>
    </row>
    <row r="31" spans="1:11" x14ac:dyDescent="0.3">
      <c r="A31" s="1" t="s">
        <v>47</v>
      </c>
      <c r="B31">
        <v>10105</v>
      </c>
      <c r="C31" s="1" t="s">
        <v>11</v>
      </c>
      <c r="D31" s="1" t="s">
        <v>11</v>
      </c>
      <c r="E31" s="1" t="s">
        <v>17</v>
      </c>
      <c r="F31" s="1" t="s">
        <v>13</v>
      </c>
      <c r="G31">
        <v>5</v>
      </c>
      <c r="H31">
        <v>3</v>
      </c>
      <c r="I31" s="1" t="s">
        <v>14</v>
      </c>
      <c r="J31">
        <v>75188</v>
      </c>
      <c r="K31">
        <f>HRDataset_v14_selected_columns[[#This Row],[Salary]]*12</f>
        <v>902256</v>
      </c>
    </row>
    <row r="32" spans="1:11" x14ac:dyDescent="0.3">
      <c r="A32" s="1" t="s">
        <v>48</v>
      </c>
      <c r="B32">
        <v>10211</v>
      </c>
      <c r="C32" s="1" t="s">
        <v>16</v>
      </c>
      <c r="D32" s="1" t="s">
        <v>16</v>
      </c>
      <c r="E32" s="1" t="s">
        <v>17</v>
      </c>
      <c r="F32" s="1" t="s">
        <v>13</v>
      </c>
      <c r="G32">
        <v>5</v>
      </c>
      <c r="H32">
        <v>3</v>
      </c>
      <c r="I32" s="1" t="s">
        <v>14</v>
      </c>
      <c r="J32">
        <v>62514</v>
      </c>
      <c r="K32">
        <f>HRDataset_v14_selected_columns[[#This Row],[Salary]]*12</f>
        <v>750168</v>
      </c>
    </row>
    <row r="33" spans="1:11" x14ac:dyDescent="0.3">
      <c r="A33" s="1" t="s">
        <v>49</v>
      </c>
      <c r="B33">
        <v>10247</v>
      </c>
      <c r="C33" s="1" t="s">
        <v>11</v>
      </c>
      <c r="D33" s="1" t="s">
        <v>11</v>
      </c>
      <c r="E33" s="1" t="s">
        <v>12</v>
      </c>
      <c r="F33" s="1" t="s">
        <v>13</v>
      </c>
      <c r="G33">
        <v>5</v>
      </c>
      <c r="H33">
        <v>3</v>
      </c>
      <c r="I33" s="1" t="s">
        <v>14</v>
      </c>
      <c r="J33">
        <v>48888</v>
      </c>
      <c r="K33">
        <f>HRDataset_v14_selected_columns[[#This Row],[Salary]]*12</f>
        <v>586656</v>
      </c>
    </row>
    <row r="34" spans="1:11" x14ac:dyDescent="0.3">
      <c r="A34" s="1" t="s">
        <v>50</v>
      </c>
      <c r="B34">
        <v>10235</v>
      </c>
      <c r="C34" s="1" t="s">
        <v>16</v>
      </c>
      <c r="D34" s="1" t="s">
        <v>16</v>
      </c>
      <c r="E34" s="1" t="s">
        <v>12</v>
      </c>
      <c r="F34" s="1" t="s">
        <v>13</v>
      </c>
      <c r="G34">
        <v>5</v>
      </c>
      <c r="H34">
        <v>3</v>
      </c>
      <c r="I34" s="1" t="s">
        <v>14</v>
      </c>
      <c r="J34">
        <v>54285</v>
      </c>
      <c r="K34">
        <f>HRDataset_v14_selected_columns[[#This Row],[Salary]]*12</f>
        <v>651420</v>
      </c>
    </row>
    <row r="35" spans="1:11" x14ac:dyDescent="0.3">
      <c r="A35" s="1" t="s">
        <v>51</v>
      </c>
      <c r="B35">
        <v>10299</v>
      </c>
      <c r="C35" s="1" t="s">
        <v>11</v>
      </c>
      <c r="D35" s="1" t="s">
        <v>52</v>
      </c>
      <c r="E35" s="1" t="s">
        <v>17</v>
      </c>
      <c r="F35" s="1" t="s">
        <v>13</v>
      </c>
      <c r="G35">
        <v>5</v>
      </c>
      <c r="H35">
        <v>1</v>
      </c>
      <c r="I35" s="1" t="s">
        <v>14</v>
      </c>
      <c r="J35">
        <v>56847</v>
      </c>
      <c r="K35">
        <f>HRDataset_v14_selected_columns[[#This Row],[Salary]]*12</f>
        <v>682164</v>
      </c>
    </row>
    <row r="36" spans="1:11" x14ac:dyDescent="0.3">
      <c r="A36" s="1" t="s">
        <v>53</v>
      </c>
      <c r="B36">
        <v>10263</v>
      </c>
      <c r="C36" s="1" t="s">
        <v>16</v>
      </c>
      <c r="D36" s="1" t="s">
        <v>16</v>
      </c>
      <c r="E36" s="1" t="s">
        <v>17</v>
      </c>
      <c r="F36" s="1" t="s">
        <v>13</v>
      </c>
      <c r="G36">
        <v>5</v>
      </c>
      <c r="H36">
        <v>3</v>
      </c>
      <c r="I36" s="1" t="s">
        <v>14</v>
      </c>
      <c r="J36">
        <v>71776</v>
      </c>
      <c r="K36">
        <f>HRDataset_v14_selected_columns[[#This Row],[Salary]]*12</f>
        <v>861312</v>
      </c>
    </row>
    <row r="37" spans="1:11" x14ac:dyDescent="0.3">
      <c r="A37" s="1" t="s">
        <v>54</v>
      </c>
      <c r="B37">
        <v>10136</v>
      </c>
      <c r="C37" s="1" t="s">
        <v>11</v>
      </c>
      <c r="D37" s="1" t="s">
        <v>11</v>
      </c>
      <c r="E37" s="1" t="s">
        <v>17</v>
      </c>
      <c r="F37" s="1" t="s">
        <v>13</v>
      </c>
      <c r="G37">
        <v>5</v>
      </c>
      <c r="H37">
        <v>3</v>
      </c>
      <c r="I37" s="1" t="s">
        <v>14</v>
      </c>
      <c r="J37">
        <v>65902</v>
      </c>
      <c r="K37">
        <f>HRDataset_v14_selected_columns[[#This Row],[Salary]]*12</f>
        <v>790824</v>
      </c>
    </row>
    <row r="38" spans="1:11" x14ac:dyDescent="0.3">
      <c r="A38" s="1" t="s">
        <v>55</v>
      </c>
      <c r="B38">
        <v>10308</v>
      </c>
      <c r="C38" s="1" t="s">
        <v>16</v>
      </c>
      <c r="D38" s="1" t="s">
        <v>16</v>
      </c>
      <c r="E38" s="1" t="s">
        <v>12</v>
      </c>
      <c r="F38" s="1" t="s">
        <v>13</v>
      </c>
      <c r="G38">
        <v>5</v>
      </c>
      <c r="H38">
        <v>1</v>
      </c>
      <c r="I38" s="1" t="s">
        <v>14</v>
      </c>
      <c r="J38">
        <v>64057</v>
      </c>
      <c r="K38">
        <f>HRDataset_v14_selected_columns[[#This Row],[Salary]]*12</f>
        <v>768684</v>
      </c>
    </row>
    <row r="39" spans="1:11" x14ac:dyDescent="0.3">
      <c r="A39" s="1" t="s">
        <v>56</v>
      </c>
      <c r="B39">
        <v>10049</v>
      </c>
      <c r="C39" s="1" t="s">
        <v>16</v>
      </c>
      <c r="D39" s="1" t="s">
        <v>16</v>
      </c>
      <c r="E39" s="1" t="s">
        <v>17</v>
      </c>
      <c r="F39" s="1" t="s">
        <v>13</v>
      </c>
      <c r="G39">
        <v>5</v>
      </c>
      <c r="H39">
        <v>3</v>
      </c>
      <c r="I39" s="1" t="s">
        <v>14</v>
      </c>
      <c r="J39">
        <v>58530</v>
      </c>
      <c r="K39">
        <f>HRDataset_v14_selected_columns[[#This Row],[Salary]]*12</f>
        <v>702360</v>
      </c>
    </row>
    <row r="40" spans="1:11" x14ac:dyDescent="0.3">
      <c r="A40" s="1" t="s">
        <v>57</v>
      </c>
      <c r="B40">
        <v>10111</v>
      </c>
      <c r="C40" s="1" t="s">
        <v>11</v>
      </c>
      <c r="D40" s="1" t="s">
        <v>11</v>
      </c>
      <c r="E40" s="1" t="s">
        <v>12</v>
      </c>
      <c r="F40" s="1" t="s">
        <v>13</v>
      </c>
      <c r="G40">
        <v>5</v>
      </c>
      <c r="H40">
        <v>3</v>
      </c>
      <c r="I40" s="1" t="s">
        <v>14</v>
      </c>
      <c r="J40">
        <v>52249</v>
      </c>
      <c r="K40">
        <f>HRDataset_v14_selected_columns[[#This Row],[Salary]]*12</f>
        <v>626988</v>
      </c>
    </row>
    <row r="41" spans="1:11" x14ac:dyDescent="0.3">
      <c r="A41" s="1" t="s">
        <v>58</v>
      </c>
      <c r="B41">
        <v>10257</v>
      </c>
      <c r="C41" s="1" t="s">
        <v>11</v>
      </c>
      <c r="D41" s="1" t="s">
        <v>11</v>
      </c>
      <c r="E41" s="1" t="s">
        <v>17</v>
      </c>
      <c r="F41" s="1" t="s">
        <v>13</v>
      </c>
      <c r="G41">
        <v>5</v>
      </c>
      <c r="H41">
        <v>3</v>
      </c>
      <c r="I41" s="1" t="s">
        <v>14</v>
      </c>
      <c r="J41">
        <v>53171</v>
      </c>
      <c r="K41">
        <f>HRDataset_v14_selected_columns[[#This Row],[Salary]]*12</f>
        <v>638052</v>
      </c>
    </row>
    <row r="42" spans="1:11" x14ac:dyDescent="0.3">
      <c r="A42" s="1" t="s">
        <v>59</v>
      </c>
      <c r="B42">
        <v>10159</v>
      </c>
      <c r="C42" s="1" t="s">
        <v>16</v>
      </c>
      <c r="D42" s="1" t="s">
        <v>16</v>
      </c>
      <c r="E42" s="1" t="s">
        <v>17</v>
      </c>
      <c r="F42" s="1" t="s">
        <v>13</v>
      </c>
      <c r="G42">
        <v>5</v>
      </c>
      <c r="H42">
        <v>3</v>
      </c>
      <c r="I42" s="1" t="s">
        <v>14</v>
      </c>
      <c r="J42">
        <v>51337</v>
      </c>
      <c r="K42">
        <f>HRDataset_v14_selected_columns[[#This Row],[Salary]]*12</f>
        <v>616044</v>
      </c>
    </row>
    <row r="43" spans="1:11" x14ac:dyDescent="0.3">
      <c r="A43" s="1" t="s">
        <v>60</v>
      </c>
      <c r="B43">
        <v>10018</v>
      </c>
      <c r="C43" s="1" t="s">
        <v>11</v>
      </c>
      <c r="D43" s="1" t="s">
        <v>11</v>
      </c>
      <c r="E43" s="1" t="s">
        <v>17</v>
      </c>
      <c r="F43" s="1" t="s">
        <v>13</v>
      </c>
      <c r="G43">
        <v>5</v>
      </c>
      <c r="H43">
        <v>4</v>
      </c>
      <c r="I43" s="1" t="s">
        <v>14</v>
      </c>
      <c r="J43">
        <v>57815</v>
      </c>
      <c r="K43">
        <f>HRDataset_v14_selected_columns[[#This Row],[Salary]]*12</f>
        <v>693780</v>
      </c>
    </row>
    <row r="44" spans="1:11" x14ac:dyDescent="0.3">
      <c r="A44" s="1" t="s">
        <v>61</v>
      </c>
      <c r="B44">
        <v>10243</v>
      </c>
      <c r="C44" s="1" t="s">
        <v>11</v>
      </c>
      <c r="D44" s="1" t="s">
        <v>11</v>
      </c>
      <c r="E44" s="1" t="s">
        <v>17</v>
      </c>
      <c r="F44" s="1" t="s">
        <v>13</v>
      </c>
      <c r="G44">
        <v>5</v>
      </c>
      <c r="H44">
        <v>3</v>
      </c>
      <c r="I44" s="1" t="s">
        <v>14</v>
      </c>
      <c r="J44">
        <v>53018</v>
      </c>
      <c r="K44">
        <f>HRDataset_v14_selected_columns[[#This Row],[Salary]]*12</f>
        <v>636216</v>
      </c>
    </row>
    <row r="45" spans="1:11" x14ac:dyDescent="0.3">
      <c r="A45" s="1" t="s">
        <v>62</v>
      </c>
      <c r="B45">
        <v>10031</v>
      </c>
      <c r="C45" s="1" t="s">
        <v>11</v>
      </c>
      <c r="D45" s="1" t="s">
        <v>25</v>
      </c>
      <c r="E45" s="1" t="s">
        <v>12</v>
      </c>
      <c r="F45" s="1" t="s">
        <v>13</v>
      </c>
      <c r="G45">
        <v>5</v>
      </c>
      <c r="H45">
        <v>4</v>
      </c>
      <c r="I45" s="1" t="s">
        <v>63</v>
      </c>
      <c r="J45">
        <v>59892</v>
      </c>
      <c r="K45">
        <f>HRDataset_v14_selected_columns[[#This Row],[Salary]]*12</f>
        <v>718704</v>
      </c>
    </row>
    <row r="46" spans="1:11" x14ac:dyDescent="0.3">
      <c r="A46" s="1" t="s">
        <v>64</v>
      </c>
      <c r="B46">
        <v>10051</v>
      </c>
      <c r="C46" s="1" t="s">
        <v>16</v>
      </c>
      <c r="D46" s="1" t="s">
        <v>16</v>
      </c>
      <c r="E46" s="1" t="s">
        <v>12</v>
      </c>
      <c r="F46" s="1" t="s">
        <v>13</v>
      </c>
      <c r="G46">
        <v>5</v>
      </c>
      <c r="H46">
        <v>3</v>
      </c>
      <c r="I46" s="1" t="s">
        <v>14</v>
      </c>
      <c r="J46">
        <v>48285</v>
      </c>
      <c r="K46">
        <f>HRDataset_v14_selected_columns[[#This Row],[Salary]]*12</f>
        <v>579420</v>
      </c>
    </row>
    <row r="47" spans="1:11" x14ac:dyDescent="0.3">
      <c r="A47" s="1" t="s">
        <v>65</v>
      </c>
      <c r="B47">
        <v>10098</v>
      </c>
      <c r="C47" s="1" t="s">
        <v>11</v>
      </c>
      <c r="D47" s="1" t="s">
        <v>25</v>
      </c>
      <c r="E47" s="1" t="s">
        <v>12</v>
      </c>
      <c r="F47" s="1" t="s">
        <v>13</v>
      </c>
      <c r="G47">
        <v>5</v>
      </c>
      <c r="H47">
        <v>3</v>
      </c>
      <c r="I47" s="1" t="s">
        <v>14</v>
      </c>
      <c r="J47">
        <v>62957</v>
      </c>
      <c r="K47">
        <f>HRDataset_v14_selected_columns[[#This Row],[Salary]]*12</f>
        <v>755484</v>
      </c>
    </row>
    <row r="48" spans="1:11" x14ac:dyDescent="0.3">
      <c r="A48" s="1" t="s">
        <v>66</v>
      </c>
      <c r="B48">
        <v>10125</v>
      </c>
      <c r="C48" s="1" t="s">
        <v>16</v>
      </c>
      <c r="D48" s="1" t="s">
        <v>16</v>
      </c>
      <c r="E48" s="1" t="s">
        <v>17</v>
      </c>
      <c r="F48" s="1" t="s">
        <v>13</v>
      </c>
      <c r="G48">
        <v>5</v>
      </c>
      <c r="H48">
        <v>3</v>
      </c>
      <c r="I48" s="1" t="s">
        <v>14</v>
      </c>
      <c r="J48">
        <v>54828</v>
      </c>
      <c r="K48">
        <f>HRDataset_v14_selected_columns[[#This Row],[Salary]]*12</f>
        <v>657936</v>
      </c>
    </row>
    <row r="49" spans="1:11" x14ac:dyDescent="0.3">
      <c r="A49" s="1" t="s">
        <v>67</v>
      </c>
      <c r="B49">
        <v>10074</v>
      </c>
      <c r="C49" s="1" t="s">
        <v>11</v>
      </c>
      <c r="D49" s="1" t="s">
        <v>11</v>
      </c>
      <c r="E49" s="1" t="s">
        <v>12</v>
      </c>
      <c r="F49" s="1" t="s">
        <v>13</v>
      </c>
      <c r="G49">
        <v>5</v>
      </c>
      <c r="H49">
        <v>3</v>
      </c>
      <c r="I49" s="1" t="s">
        <v>14</v>
      </c>
      <c r="J49">
        <v>64246</v>
      </c>
      <c r="K49">
        <f>HRDataset_v14_selected_columns[[#This Row],[Salary]]*12</f>
        <v>770952</v>
      </c>
    </row>
    <row r="50" spans="1:11" x14ac:dyDescent="0.3">
      <c r="A50" s="1" t="s">
        <v>68</v>
      </c>
      <c r="B50">
        <v>10007</v>
      </c>
      <c r="C50" s="1" t="s">
        <v>16</v>
      </c>
      <c r="D50" s="1" t="s">
        <v>16</v>
      </c>
      <c r="E50" s="1" t="s">
        <v>17</v>
      </c>
      <c r="F50" s="1" t="s">
        <v>13</v>
      </c>
      <c r="G50">
        <v>5</v>
      </c>
      <c r="H50">
        <v>4</v>
      </c>
      <c r="I50" s="1" t="s">
        <v>14</v>
      </c>
      <c r="J50">
        <v>62065</v>
      </c>
      <c r="K50">
        <f>HRDataset_v14_selected_columns[[#This Row],[Salary]]*12</f>
        <v>744780</v>
      </c>
    </row>
    <row r="51" spans="1:11" x14ac:dyDescent="0.3">
      <c r="A51" s="1" t="s">
        <v>69</v>
      </c>
      <c r="B51">
        <v>10129</v>
      </c>
      <c r="C51" s="1" t="s">
        <v>11</v>
      </c>
      <c r="D51" s="1" t="s">
        <v>11</v>
      </c>
      <c r="E51" s="1" t="s">
        <v>12</v>
      </c>
      <c r="F51" s="1" t="s">
        <v>13</v>
      </c>
      <c r="G51">
        <v>5</v>
      </c>
      <c r="H51">
        <v>3</v>
      </c>
      <c r="I51" s="1" t="s">
        <v>14</v>
      </c>
      <c r="J51">
        <v>46998</v>
      </c>
      <c r="K51">
        <f>HRDataset_v14_selected_columns[[#This Row],[Salary]]*12</f>
        <v>563976</v>
      </c>
    </row>
    <row r="52" spans="1:11" x14ac:dyDescent="0.3">
      <c r="A52" s="1" t="s">
        <v>70</v>
      </c>
      <c r="B52">
        <v>10248</v>
      </c>
      <c r="C52" s="1" t="s">
        <v>11</v>
      </c>
      <c r="D52" s="1" t="s">
        <v>11</v>
      </c>
      <c r="E52" s="1" t="s">
        <v>17</v>
      </c>
      <c r="F52" s="1" t="s">
        <v>13</v>
      </c>
      <c r="G52">
        <v>5</v>
      </c>
      <c r="H52">
        <v>3</v>
      </c>
      <c r="I52" s="1" t="s">
        <v>14</v>
      </c>
      <c r="J52">
        <v>55425</v>
      </c>
      <c r="K52">
        <f>HRDataset_v14_selected_columns[[#This Row],[Salary]]*12</f>
        <v>665100</v>
      </c>
    </row>
    <row r="53" spans="1:11" x14ac:dyDescent="0.3">
      <c r="A53" s="1" t="s">
        <v>71</v>
      </c>
      <c r="B53">
        <v>10139</v>
      </c>
      <c r="C53" s="1" t="s">
        <v>11</v>
      </c>
      <c r="D53" s="1" t="s">
        <v>11</v>
      </c>
      <c r="E53" s="1" t="s">
        <v>17</v>
      </c>
      <c r="F53" s="1" t="s">
        <v>13</v>
      </c>
      <c r="G53">
        <v>5</v>
      </c>
      <c r="H53">
        <v>3</v>
      </c>
      <c r="I53" s="1" t="s">
        <v>14</v>
      </c>
      <c r="J53">
        <v>51908</v>
      </c>
      <c r="K53">
        <f>HRDataset_v14_selected_columns[[#This Row],[Salary]]*12</f>
        <v>622896</v>
      </c>
    </row>
    <row r="54" spans="1:11" x14ac:dyDescent="0.3">
      <c r="A54" s="1" t="s">
        <v>72</v>
      </c>
      <c r="B54">
        <v>10227</v>
      </c>
      <c r="C54" s="1" t="s">
        <v>11</v>
      </c>
      <c r="D54" s="1" t="s">
        <v>11</v>
      </c>
      <c r="E54" s="1" t="s">
        <v>17</v>
      </c>
      <c r="F54" s="1" t="s">
        <v>13</v>
      </c>
      <c r="G54">
        <v>5</v>
      </c>
      <c r="H54">
        <v>3</v>
      </c>
      <c r="I54" s="1" t="s">
        <v>14</v>
      </c>
      <c r="J54">
        <v>61242</v>
      </c>
      <c r="K54">
        <f>HRDataset_v14_selected_columns[[#This Row],[Salary]]*12</f>
        <v>734904</v>
      </c>
    </row>
    <row r="55" spans="1:11" x14ac:dyDescent="0.3">
      <c r="A55" s="1" t="s">
        <v>73</v>
      </c>
      <c r="B55">
        <v>10236</v>
      </c>
      <c r="C55" s="1" t="s">
        <v>11</v>
      </c>
      <c r="D55" s="1" t="s">
        <v>25</v>
      </c>
      <c r="E55" s="1" t="s">
        <v>17</v>
      </c>
      <c r="F55" s="1" t="s">
        <v>13</v>
      </c>
      <c r="G55">
        <v>5</v>
      </c>
      <c r="H55">
        <v>3</v>
      </c>
      <c r="I55" s="1" t="s">
        <v>14</v>
      </c>
      <c r="J55">
        <v>45069</v>
      </c>
      <c r="K55">
        <f>HRDataset_v14_selected_columns[[#This Row],[Salary]]*12</f>
        <v>540828</v>
      </c>
    </row>
    <row r="56" spans="1:11" x14ac:dyDescent="0.3">
      <c r="A56" s="1" t="s">
        <v>74</v>
      </c>
      <c r="B56">
        <v>10009</v>
      </c>
      <c r="C56" s="1" t="s">
        <v>11</v>
      </c>
      <c r="D56" s="1" t="s">
        <v>25</v>
      </c>
      <c r="E56" s="1" t="s">
        <v>17</v>
      </c>
      <c r="F56" s="1" t="s">
        <v>13</v>
      </c>
      <c r="G56">
        <v>5</v>
      </c>
      <c r="H56">
        <v>4</v>
      </c>
      <c r="I56" s="1" t="s">
        <v>14</v>
      </c>
      <c r="J56">
        <v>60724</v>
      </c>
      <c r="K56">
        <f>HRDataset_v14_selected_columns[[#This Row],[Salary]]*12</f>
        <v>728688</v>
      </c>
    </row>
    <row r="57" spans="1:11" x14ac:dyDescent="0.3">
      <c r="A57" s="1" t="s">
        <v>75</v>
      </c>
      <c r="B57">
        <v>10060</v>
      </c>
      <c r="C57" s="1" t="s">
        <v>11</v>
      </c>
      <c r="D57" s="1" t="s">
        <v>52</v>
      </c>
      <c r="E57" s="1" t="s">
        <v>17</v>
      </c>
      <c r="F57" s="1" t="s">
        <v>13</v>
      </c>
      <c r="G57">
        <v>5</v>
      </c>
      <c r="H57">
        <v>3</v>
      </c>
      <c r="I57" s="1" t="s">
        <v>14</v>
      </c>
      <c r="J57">
        <v>60436</v>
      </c>
      <c r="K57">
        <f>HRDataset_v14_selected_columns[[#This Row],[Salary]]*12</f>
        <v>725232</v>
      </c>
    </row>
    <row r="58" spans="1:11" x14ac:dyDescent="0.3">
      <c r="A58" s="1" t="s">
        <v>76</v>
      </c>
      <c r="B58">
        <v>10036</v>
      </c>
      <c r="C58" s="1" t="s">
        <v>11</v>
      </c>
      <c r="D58" s="1" t="s">
        <v>11</v>
      </c>
      <c r="E58" s="1" t="s">
        <v>17</v>
      </c>
      <c r="F58" s="1" t="s">
        <v>13</v>
      </c>
      <c r="G58">
        <v>5</v>
      </c>
      <c r="H58">
        <v>4</v>
      </c>
      <c r="I58" s="1" t="s">
        <v>14</v>
      </c>
      <c r="J58">
        <v>63322</v>
      </c>
      <c r="K58">
        <f>HRDataset_v14_selected_columns[[#This Row],[Salary]]*12</f>
        <v>759864</v>
      </c>
    </row>
    <row r="59" spans="1:11" x14ac:dyDescent="0.3">
      <c r="A59" s="1" t="s">
        <v>77</v>
      </c>
      <c r="B59">
        <v>10192</v>
      </c>
      <c r="C59" s="1" t="s">
        <v>11</v>
      </c>
      <c r="D59" s="1" t="s">
        <v>11</v>
      </c>
      <c r="E59" s="1" t="s">
        <v>12</v>
      </c>
      <c r="F59" s="1" t="s">
        <v>13</v>
      </c>
      <c r="G59">
        <v>5</v>
      </c>
      <c r="H59">
        <v>3</v>
      </c>
      <c r="I59" s="1" t="s">
        <v>14</v>
      </c>
      <c r="J59">
        <v>50482</v>
      </c>
      <c r="K59">
        <f>HRDataset_v14_selected_columns[[#This Row],[Salary]]*12</f>
        <v>605784</v>
      </c>
    </row>
    <row r="60" spans="1:11" x14ac:dyDescent="0.3">
      <c r="A60" s="1" t="s">
        <v>78</v>
      </c>
      <c r="B60">
        <v>10208</v>
      </c>
      <c r="C60" s="1" t="s">
        <v>11</v>
      </c>
      <c r="D60" s="1" t="s">
        <v>11</v>
      </c>
      <c r="E60" s="1" t="s">
        <v>12</v>
      </c>
      <c r="F60" s="1" t="s">
        <v>13</v>
      </c>
      <c r="G60">
        <v>5</v>
      </c>
      <c r="H60">
        <v>3</v>
      </c>
      <c r="I60" s="1" t="s">
        <v>14</v>
      </c>
      <c r="J60">
        <v>46654</v>
      </c>
      <c r="K60">
        <f>HRDataset_v14_selected_columns[[#This Row],[Salary]]*12</f>
        <v>559848</v>
      </c>
    </row>
    <row r="61" spans="1:11" x14ac:dyDescent="0.3">
      <c r="A61" s="1" t="s">
        <v>79</v>
      </c>
      <c r="B61">
        <v>10176</v>
      </c>
      <c r="C61" s="1" t="s">
        <v>16</v>
      </c>
      <c r="D61" s="1" t="s">
        <v>16</v>
      </c>
      <c r="E61" s="1" t="s">
        <v>12</v>
      </c>
      <c r="F61" s="1" t="s">
        <v>13</v>
      </c>
      <c r="G61">
        <v>5</v>
      </c>
      <c r="H61">
        <v>3</v>
      </c>
      <c r="I61" s="1" t="s">
        <v>14</v>
      </c>
      <c r="J61">
        <v>63973</v>
      </c>
      <c r="K61">
        <f>HRDataset_v14_selected_columns[[#This Row],[Salary]]*12</f>
        <v>767676</v>
      </c>
    </row>
    <row r="62" spans="1:11" x14ac:dyDescent="0.3">
      <c r="A62" s="1" t="s">
        <v>80</v>
      </c>
      <c r="B62">
        <v>10052</v>
      </c>
      <c r="C62" s="1" t="s">
        <v>16</v>
      </c>
      <c r="D62" s="1" t="s">
        <v>16</v>
      </c>
      <c r="E62" s="1" t="s">
        <v>12</v>
      </c>
      <c r="F62" s="1" t="s">
        <v>13</v>
      </c>
      <c r="G62">
        <v>5</v>
      </c>
      <c r="H62">
        <v>3</v>
      </c>
      <c r="I62" s="1" t="s">
        <v>14</v>
      </c>
      <c r="J62">
        <v>46120</v>
      </c>
      <c r="K62">
        <f>HRDataset_v14_selected_columns[[#This Row],[Salary]]*12</f>
        <v>553440</v>
      </c>
    </row>
    <row r="63" spans="1:11" x14ac:dyDescent="0.3">
      <c r="A63" s="1" t="s">
        <v>81</v>
      </c>
      <c r="B63">
        <v>10251</v>
      </c>
      <c r="C63" s="1" t="s">
        <v>16</v>
      </c>
      <c r="D63" s="1" t="s">
        <v>16</v>
      </c>
      <c r="E63" s="1" t="s">
        <v>12</v>
      </c>
      <c r="F63" s="1" t="s">
        <v>13</v>
      </c>
      <c r="G63">
        <v>5</v>
      </c>
      <c r="H63">
        <v>3</v>
      </c>
      <c r="I63" s="1" t="s">
        <v>14</v>
      </c>
      <c r="J63">
        <v>64738</v>
      </c>
      <c r="K63">
        <f>HRDataset_v14_selected_columns[[#This Row],[Salary]]*12</f>
        <v>776856</v>
      </c>
    </row>
    <row r="64" spans="1:11" x14ac:dyDescent="0.3">
      <c r="A64" s="1" t="s">
        <v>82</v>
      </c>
      <c r="B64">
        <v>10017</v>
      </c>
      <c r="C64" s="1" t="s">
        <v>16</v>
      </c>
      <c r="D64" s="1" t="s">
        <v>16</v>
      </c>
      <c r="E64" s="1" t="s">
        <v>17</v>
      </c>
      <c r="F64" s="1" t="s">
        <v>13</v>
      </c>
      <c r="G64">
        <v>5</v>
      </c>
      <c r="H64">
        <v>4</v>
      </c>
      <c r="I64" s="1" t="s">
        <v>14</v>
      </c>
      <c r="J64">
        <v>77915</v>
      </c>
      <c r="K64">
        <f>HRDataset_v14_selected_columns[[#This Row],[Salary]]*12</f>
        <v>934980</v>
      </c>
    </row>
    <row r="65" spans="1:11" x14ac:dyDescent="0.3">
      <c r="A65" s="1" t="s">
        <v>83</v>
      </c>
      <c r="B65">
        <v>10035</v>
      </c>
      <c r="C65" s="1" t="s">
        <v>11</v>
      </c>
      <c r="D65" s="1" t="s">
        <v>11</v>
      </c>
      <c r="E65" s="1" t="s">
        <v>17</v>
      </c>
      <c r="F65" s="1" t="s">
        <v>13</v>
      </c>
      <c r="G65">
        <v>5</v>
      </c>
      <c r="H65">
        <v>4</v>
      </c>
      <c r="I65" s="1" t="s">
        <v>14</v>
      </c>
      <c r="J65">
        <v>73330</v>
      </c>
      <c r="K65">
        <f>HRDataset_v14_selected_columns[[#This Row],[Salary]]*12</f>
        <v>879960</v>
      </c>
    </row>
    <row r="66" spans="1:11" x14ac:dyDescent="0.3">
      <c r="A66" s="1" t="s">
        <v>84</v>
      </c>
      <c r="B66">
        <v>10219</v>
      </c>
      <c r="C66" s="1" t="s">
        <v>11</v>
      </c>
      <c r="D66" s="1" t="s">
        <v>11</v>
      </c>
      <c r="E66" s="1" t="s">
        <v>17</v>
      </c>
      <c r="F66" s="1" t="s">
        <v>13</v>
      </c>
      <c r="G66">
        <v>5</v>
      </c>
      <c r="H66">
        <v>3</v>
      </c>
      <c r="I66" s="1" t="s">
        <v>14</v>
      </c>
      <c r="J66">
        <v>45395</v>
      </c>
      <c r="K66">
        <f>HRDataset_v14_selected_columns[[#This Row],[Salary]]*12</f>
        <v>544740</v>
      </c>
    </row>
    <row r="67" spans="1:11" x14ac:dyDescent="0.3">
      <c r="A67" s="1" t="s">
        <v>85</v>
      </c>
      <c r="B67">
        <v>10279</v>
      </c>
      <c r="C67" s="1" t="s">
        <v>16</v>
      </c>
      <c r="D67" s="1" t="s">
        <v>16</v>
      </c>
      <c r="E67" s="1" t="s">
        <v>17</v>
      </c>
      <c r="F67" s="1" t="s">
        <v>13</v>
      </c>
      <c r="G67">
        <v>5</v>
      </c>
      <c r="H67">
        <v>3</v>
      </c>
      <c r="I67" s="1" t="s">
        <v>14</v>
      </c>
      <c r="J67">
        <v>61349</v>
      </c>
      <c r="K67">
        <f>HRDataset_v14_selected_columns[[#This Row],[Salary]]*12</f>
        <v>736188</v>
      </c>
    </row>
    <row r="68" spans="1:11" x14ac:dyDescent="0.3">
      <c r="A68" s="1" t="s">
        <v>86</v>
      </c>
      <c r="B68">
        <v>10053</v>
      </c>
      <c r="C68" s="1" t="s">
        <v>16</v>
      </c>
      <c r="D68" s="1" t="s">
        <v>16</v>
      </c>
      <c r="E68" s="1" t="s">
        <v>17</v>
      </c>
      <c r="F68" s="1" t="s">
        <v>13</v>
      </c>
      <c r="G68">
        <v>5</v>
      </c>
      <c r="H68">
        <v>3</v>
      </c>
      <c r="I68" s="1" t="s">
        <v>14</v>
      </c>
      <c r="J68">
        <v>54132</v>
      </c>
      <c r="K68">
        <f>HRDataset_v14_selected_columns[[#This Row],[Salary]]*12</f>
        <v>649584</v>
      </c>
    </row>
    <row r="69" spans="1:11" x14ac:dyDescent="0.3">
      <c r="A69" s="1" t="s">
        <v>87</v>
      </c>
      <c r="B69">
        <v>10076</v>
      </c>
      <c r="C69" s="1" t="s">
        <v>11</v>
      </c>
      <c r="D69" s="1" t="s">
        <v>11</v>
      </c>
      <c r="E69" s="1" t="s">
        <v>17</v>
      </c>
      <c r="F69" s="1" t="s">
        <v>13</v>
      </c>
      <c r="G69">
        <v>5</v>
      </c>
      <c r="H69">
        <v>3</v>
      </c>
      <c r="I69" s="1" t="s">
        <v>14</v>
      </c>
      <c r="J69">
        <v>55315</v>
      </c>
      <c r="K69">
        <f>HRDataset_v14_selected_columns[[#This Row],[Salary]]*12</f>
        <v>663780</v>
      </c>
    </row>
    <row r="70" spans="1:11" x14ac:dyDescent="0.3">
      <c r="A70" s="1" t="s">
        <v>88</v>
      </c>
      <c r="B70">
        <v>10145</v>
      </c>
      <c r="C70" s="1" t="s">
        <v>16</v>
      </c>
      <c r="D70" s="1" t="s">
        <v>16</v>
      </c>
      <c r="E70" s="1" t="s">
        <v>17</v>
      </c>
      <c r="F70" s="1" t="s">
        <v>13</v>
      </c>
      <c r="G70">
        <v>5</v>
      </c>
      <c r="H70">
        <v>3</v>
      </c>
      <c r="I70" s="1" t="s">
        <v>14</v>
      </c>
      <c r="J70">
        <v>62810</v>
      </c>
      <c r="K70">
        <f>HRDataset_v14_selected_columns[[#This Row],[Salary]]*12</f>
        <v>753720</v>
      </c>
    </row>
    <row r="71" spans="1:11" x14ac:dyDescent="0.3">
      <c r="A71" s="1" t="s">
        <v>89</v>
      </c>
      <c r="B71">
        <v>10068</v>
      </c>
      <c r="C71" s="1" t="s">
        <v>11</v>
      </c>
      <c r="D71" s="1" t="s">
        <v>11</v>
      </c>
      <c r="E71" s="1" t="s">
        <v>17</v>
      </c>
      <c r="F71" s="1" t="s">
        <v>13</v>
      </c>
      <c r="G71">
        <v>5</v>
      </c>
      <c r="H71">
        <v>3</v>
      </c>
      <c r="I71" s="1" t="s">
        <v>14</v>
      </c>
      <c r="J71">
        <v>55688</v>
      </c>
      <c r="K71">
        <f>HRDataset_v14_selected_columns[[#This Row],[Salary]]*12</f>
        <v>668256</v>
      </c>
    </row>
    <row r="72" spans="1:11" x14ac:dyDescent="0.3">
      <c r="A72" s="1" t="s">
        <v>90</v>
      </c>
      <c r="B72">
        <v>10116</v>
      </c>
      <c r="C72" s="1" t="s">
        <v>11</v>
      </c>
      <c r="D72" s="1" t="s">
        <v>11</v>
      </c>
      <c r="E72" s="1" t="s">
        <v>12</v>
      </c>
      <c r="F72" s="1" t="s">
        <v>13</v>
      </c>
      <c r="G72">
        <v>5</v>
      </c>
      <c r="H72">
        <v>3</v>
      </c>
      <c r="I72" s="1" t="s">
        <v>14</v>
      </c>
      <c r="J72">
        <v>83667</v>
      </c>
      <c r="K72">
        <f>HRDataset_v14_selected_columns[[#This Row],[Salary]]*12</f>
        <v>1004004</v>
      </c>
    </row>
    <row r="73" spans="1:11" x14ac:dyDescent="0.3">
      <c r="A73" s="1" t="s">
        <v>91</v>
      </c>
      <c r="B73">
        <v>10213</v>
      </c>
      <c r="C73" s="1" t="s">
        <v>16</v>
      </c>
      <c r="D73" s="1" t="s">
        <v>16</v>
      </c>
      <c r="E73" s="1" t="s">
        <v>12</v>
      </c>
      <c r="F73" s="1" t="s">
        <v>13</v>
      </c>
      <c r="G73">
        <v>5</v>
      </c>
      <c r="H73">
        <v>3</v>
      </c>
      <c r="I73" s="1" t="s">
        <v>14</v>
      </c>
      <c r="J73">
        <v>58207</v>
      </c>
      <c r="K73">
        <f>HRDataset_v14_selected_columns[[#This Row],[Salary]]*12</f>
        <v>698484</v>
      </c>
    </row>
    <row r="74" spans="1:11" x14ac:dyDescent="0.3">
      <c r="A74" s="1" t="s">
        <v>92</v>
      </c>
      <c r="B74">
        <v>10025</v>
      </c>
      <c r="C74" s="1" t="s">
        <v>11</v>
      </c>
      <c r="D74" s="1" t="s">
        <v>11</v>
      </c>
      <c r="E74" s="1" t="s">
        <v>17</v>
      </c>
      <c r="F74" s="1" t="s">
        <v>13</v>
      </c>
      <c r="G74">
        <v>5</v>
      </c>
      <c r="H74">
        <v>4</v>
      </c>
      <c r="I74" s="1" t="s">
        <v>14</v>
      </c>
      <c r="J74">
        <v>72460</v>
      </c>
      <c r="K74">
        <f>HRDataset_v14_selected_columns[[#This Row],[Salary]]*12</f>
        <v>869520</v>
      </c>
    </row>
    <row r="75" spans="1:11" x14ac:dyDescent="0.3">
      <c r="A75" s="1" t="s">
        <v>93</v>
      </c>
      <c r="B75">
        <v>10254</v>
      </c>
      <c r="C75" s="1" t="s">
        <v>11</v>
      </c>
      <c r="D75" s="1" t="s">
        <v>25</v>
      </c>
      <c r="E75" s="1" t="s">
        <v>17</v>
      </c>
      <c r="F75" s="1" t="s">
        <v>13</v>
      </c>
      <c r="G75">
        <v>5</v>
      </c>
      <c r="H75">
        <v>3</v>
      </c>
      <c r="I75" s="1" t="s">
        <v>14</v>
      </c>
      <c r="J75">
        <v>63430</v>
      </c>
      <c r="K75">
        <f>HRDataset_v14_selected_columns[[#This Row],[Salary]]*12</f>
        <v>761160</v>
      </c>
    </row>
    <row r="76" spans="1:11" x14ac:dyDescent="0.3">
      <c r="A76" s="1" t="s">
        <v>94</v>
      </c>
      <c r="B76">
        <v>10120</v>
      </c>
      <c r="C76" s="1" t="s">
        <v>11</v>
      </c>
      <c r="D76" s="1" t="s">
        <v>52</v>
      </c>
      <c r="E76" s="1" t="s">
        <v>12</v>
      </c>
      <c r="F76" s="1" t="s">
        <v>13</v>
      </c>
      <c r="G76">
        <v>5</v>
      </c>
      <c r="H76">
        <v>3</v>
      </c>
      <c r="I76" s="1" t="s">
        <v>14</v>
      </c>
      <c r="J76">
        <v>74417</v>
      </c>
      <c r="K76">
        <f>HRDataset_v14_selected_columns[[#This Row],[Salary]]*12</f>
        <v>893004</v>
      </c>
    </row>
    <row r="77" spans="1:11" x14ac:dyDescent="0.3">
      <c r="A77" s="1" t="s">
        <v>95</v>
      </c>
      <c r="B77">
        <v>10216</v>
      </c>
      <c r="C77" s="1" t="s">
        <v>11</v>
      </c>
      <c r="D77" s="1" t="s">
        <v>11</v>
      </c>
      <c r="E77" s="1" t="s">
        <v>12</v>
      </c>
      <c r="F77" s="1" t="s">
        <v>13</v>
      </c>
      <c r="G77">
        <v>5</v>
      </c>
      <c r="H77">
        <v>3</v>
      </c>
      <c r="I77" s="1" t="s">
        <v>14</v>
      </c>
      <c r="J77">
        <v>57575</v>
      </c>
      <c r="K77">
        <f>HRDataset_v14_selected_columns[[#This Row],[Salary]]*12</f>
        <v>690900</v>
      </c>
    </row>
    <row r="78" spans="1:11" x14ac:dyDescent="0.3">
      <c r="A78" s="1" t="s">
        <v>96</v>
      </c>
      <c r="B78">
        <v>10037</v>
      </c>
      <c r="C78" s="1" t="s">
        <v>11</v>
      </c>
      <c r="D78" s="1" t="s">
        <v>52</v>
      </c>
      <c r="E78" s="1" t="s">
        <v>17</v>
      </c>
      <c r="F78" s="1" t="s">
        <v>13</v>
      </c>
      <c r="G78">
        <v>5</v>
      </c>
      <c r="H78">
        <v>4</v>
      </c>
      <c r="I78" s="1" t="s">
        <v>63</v>
      </c>
      <c r="J78">
        <v>52984</v>
      </c>
      <c r="K78">
        <f>HRDataset_v14_selected_columns[[#This Row],[Salary]]*12</f>
        <v>635808</v>
      </c>
    </row>
    <row r="79" spans="1:11" x14ac:dyDescent="0.3">
      <c r="A79" s="1" t="s">
        <v>97</v>
      </c>
      <c r="B79">
        <v>10206</v>
      </c>
      <c r="C79" s="1" t="s">
        <v>11</v>
      </c>
      <c r="D79" s="1" t="s">
        <v>11</v>
      </c>
      <c r="E79" s="1" t="s">
        <v>17</v>
      </c>
      <c r="F79" s="1" t="s">
        <v>13</v>
      </c>
      <c r="G79">
        <v>5</v>
      </c>
      <c r="H79">
        <v>3</v>
      </c>
      <c r="I79" s="1" t="s">
        <v>14</v>
      </c>
      <c r="J79">
        <v>62061</v>
      </c>
      <c r="K79">
        <f>HRDataset_v14_selected_columns[[#This Row],[Salary]]*12</f>
        <v>744732</v>
      </c>
    </row>
    <row r="80" spans="1:11" x14ac:dyDescent="0.3">
      <c r="A80" s="1" t="s">
        <v>98</v>
      </c>
      <c r="B80">
        <v>10104</v>
      </c>
      <c r="C80" s="1" t="s">
        <v>11</v>
      </c>
      <c r="D80" s="1" t="s">
        <v>11</v>
      </c>
      <c r="E80" s="1" t="s">
        <v>17</v>
      </c>
      <c r="F80" s="1" t="s">
        <v>13</v>
      </c>
      <c r="G80">
        <v>5</v>
      </c>
      <c r="H80">
        <v>3</v>
      </c>
      <c r="I80" s="1" t="s">
        <v>14</v>
      </c>
      <c r="J80">
        <v>66738</v>
      </c>
      <c r="K80">
        <f>HRDataset_v14_selected_columns[[#This Row],[Salary]]*12</f>
        <v>800856</v>
      </c>
    </row>
    <row r="81" spans="1:11" x14ac:dyDescent="0.3">
      <c r="A81" s="1" t="s">
        <v>99</v>
      </c>
      <c r="B81">
        <v>10021</v>
      </c>
      <c r="C81" s="1" t="s">
        <v>16</v>
      </c>
      <c r="D81" s="1" t="s">
        <v>16</v>
      </c>
      <c r="E81" s="1" t="s">
        <v>12</v>
      </c>
      <c r="F81" s="1" t="s">
        <v>13</v>
      </c>
      <c r="G81">
        <v>5</v>
      </c>
      <c r="H81">
        <v>4</v>
      </c>
      <c r="I81" s="1" t="s">
        <v>14</v>
      </c>
      <c r="J81">
        <v>47414</v>
      </c>
      <c r="K81">
        <f>HRDataset_v14_selected_columns[[#This Row],[Salary]]*12</f>
        <v>568968</v>
      </c>
    </row>
    <row r="82" spans="1:11" x14ac:dyDescent="0.3">
      <c r="A82" s="1" t="s">
        <v>100</v>
      </c>
      <c r="B82">
        <v>10281</v>
      </c>
      <c r="C82" s="1" t="s">
        <v>11</v>
      </c>
      <c r="D82" s="1" t="s">
        <v>11</v>
      </c>
      <c r="E82" s="1" t="s">
        <v>12</v>
      </c>
      <c r="F82" s="1" t="s">
        <v>13</v>
      </c>
      <c r="G82">
        <v>5</v>
      </c>
      <c r="H82">
        <v>2</v>
      </c>
      <c r="I82" s="1" t="s">
        <v>14</v>
      </c>
      <c r="J82">
        <v>53060</v>
      </c>
      <c r="K82">
        <f>HRDataset_v14_selected_columns[[#This Row],[Salary]]*12</f>
        <v>636720</v>
      </c>
    </row>
    <row r="83" spans="1:11" x14ac:dyDescent="0.3">
      <c r="A83" s="1" t="s">
        <v>101</v>
      </c>
      <c r="B83">
        <v>10217</v>
      </c>
      <c r="C83" s="1" t="s">
        <v>16</v>
      </c>
      <c r="D83" s="1" t="s">
        <v>16</v>
      </c>
      <c r="E83" s="1" t="s">
        <v>17</v>
      </c>
      <c r="F83" s="1" t="s">
        <v>13</v>
      </c>
      <c r="G83">
        <v>5</v>
      </c>
      <c r="H83">
        <v>3</v>
      </c>
      <c r="I83" s="1" t="s">
        <v>14</v>
      </c>
      <c r="J83">
        <v>74226</v>
      </c>
      <c r="K83">
        <f>HRDataset_v14_selected_columns[[#This Row],[Salary]]*12</f>
        <v>890712</v>
      </c>
    </row>
    <row r="84" spans="1:11" x14ac:dyDescent="0.3">
      <c r="A84" s="1" t="s">
        <v>102</v>
      </c>
      <c r="B84">
        <v>10164</v>
      </c>
      <c r="C84" s="1" t="s">
        <v>11</v>
      </c>
      <c r="D84" s="1" t="s">
        <v>11</v>
      </c>
      <c r="E84" s="1" t="s">
        <v>12</v>
      </c>
      <c r="F84" s="1" t="s">
        <v>13</v>
      </c>
      <c r="G84">
        <v>5</v>
      </c>
      <c r="H84">
        <v>3</v>
      </c>
      <c r="I84" s="1" t="s">
        <v>14</v>
      </c>
      <c r="J84">
        <v>47001</v>
      </c>
      <c r="K84">
        <f>HRDataset_v14_selected_columns[[#This Row],[Salary]]*12</f>
        <v>564012</v>
      </c>
    </row>
    <row r="85" spans="1:11" x14ac:dyDescent="0.3">
      <c r="A85" s="1" t="s">
        <v>103</v>
      </c>
      <c r="B85">
        <v>10225</v>
      </c>
      <c r="C85" s="1" t="s">
        <v>11</v>
      </c>
      <c r="D85" s="1" t="s">
        <v>11</v>
      </c>
      <c r="E85" s="1" t="s">
        <v>12</v>
      </c>
      <c r="F85" s="1" t="s">
        <v>13</v>
      </c>
      <c r="G85">
        <v>5</v>
      </c>
      <c r="H85">
        <v>3</v>
      </c>
      <c r="I85" s="1" t="s">
        <v>14</v>
      </c>
      <c r="J85">
        <v>59472</v>
      </c>
      <c r="K85">
        <f>HRDataset_v14_selected_columns[[#This Row],[Salary]]*12</f>
        <v>713664</v>
      </c>
    </row>
    <row r="86" spans="1:11" x14ac:dyDescent="0.3">
      <c r="A86" s="1" t="s">
        <v>104</v>
      </c>
      <c r="B86">
        <v>10011</v>
      </c>
      <c r="C86" s="1" t="s">
        <v>16</v>
      </c>
      <c r="D86" s="1" t="s">
        <v>16</v>
      </c>
      <c r="E86" s="1" t="s">
        <v>17</v>
      </c>
      <c r="F86" s="1" t="s">
        <v>13</v>
      </c>
      <c r="G86">
        <v>5</v>
      </c>
      <c r="H86">
        <v>4</v>
      </c>
      <c r="I86" s="1" t="s">
        <v>14</v>
      </c>
      <c r="J86">
        <v>46738</v>
      </c>
      <c r="K86">
        <f>HRDataset_v14_selected_columns[[#This Row],[Salary]]*12</f>
        <v>560856</v>
      </c>
    </row>
    <row r="87" spans="1:11" x14ac:dyDescent="0.3">
      <c r="A87" s="1" t="s">
        <v>105</v>
      </c>
      <c r="B87">
        <v>10020</v>
      </c>
      <c r="C87" s="1" t="s">
        <v>11</v>
      </c>
      <c r="D87" s="1" t="s">
        <v>20</v>
      </c>
      <c r="E87" s="1" t="s">
        <v>12</v>
      </c>
      <c r="F87" s="1" t="s">
        <v>13</v>
      </c>
      <c r="G87">
        <v>5</v>
      </c>
      <c r="H87">
        <v>4</v>
      </c>
      <c r="I87" s="1" t="s">
        <v>14</v>
      </c>
      <c r="J87">
        <v>63353</v>
      </c>
      <c r="K87">
        <f>HRDataset_v14_selected_columns[[#This Row],[Salary]]*12</f>
        <v>760236</v>
      </c>
    </row>
    <row r="88" spans="1:11" x14ac:dyDescent="0.3">
      <c r="A88" s="1" t="s">
        <v>106</v>
      </c>
      <c r="B88">
        <v>10054</v>
      </c>
      <c r="C88" s="1" t="s">
        <v>11</v>
      </c>
      <c r="D88" s="1" t="s">
        <v>52</v>
      </c>
      <c r="E88" s="1" t="s">
        <v>17</v>
      </c>
      <c r="F88" s="1" t="s">
        <v>13</v>
      </c>
      <c r="G88">
        <v>5</v>
      </c>
      <c r="H88">
        <v>3</v>
      </c>
      <c r="I88" s="1" t="s">
        <v>14</v>
      </c>
      <c r="J88">
        <v>60627</v>
      </c>
      <c r="K88">
        <f>HRDataset_v14_selected_columns[[#This Row],[Salary]]*12</f>
        <v>727524</v>
      </c>
    </row>
    <row r="89" spans="1:11" x14ac:dyDescent="0.3">
      <c r="A89" s="1" t="s">
        <v>107</v>
      </c>
      <c r="B89">
        <v>10233</v>
      </c>
      <c r="C89" s="1" t="s">
        <v>16</v>
      </c>
      <c r="D89" s="1" t="s">
        <v>16</v>
      </c>
      <c r="E89" s="1" t="s">
        <v>12</v>
      </c>
      <c r="F89" s="1" t="s">
        <v>13</v>
      </c>
      <c r="G89">
        <v>5</v>
      </c>
      <c r="H89">
        <v>3</v>
      </c>
      <c r="I89" s="1" t="s">
        <v>14</v>
      </c>
      <c r="J89">
        <v>57975</v>
      </c>
      <c r="K89">
        <f>HRDataset_v14_selected_columns[[#This Row],[Salary]]*12</f>
        <v>695700</v>
      </c>
    </row>
    <row r="90" spans="1:11" x14ac:dyDescent="0.3">
      <c r="A90" s="1" t="s">
        <v>108</v>
      </c>
      <c r="B90">
        <v>10169</v>
      </c>
      <c r="C90" s="1" t="s">
        <v>16</v>
      </c>
      <c r="D90" s="1" t="s">
        <v>16</v>
      </c>
      <c r="E90" s="1" t="s">
        <v>17</v>
      </c>
      <c r="F90" s="1" t="s">
        <v>13</v>
      </c>
      <c r="G90">
        <v>5</v>
      </c>
      <c r="H90">
        <v>3</v>
      </c>
      <c r="I90" s="1" t="s">
        <v>14</v>
      </c>
      <c r="J90">
        <v>56147</v>
      </c>
      <c r="K90">
        <f>HRDataset_v14_selected_columns[[#This Row],[Salary]]*12</f>
        <v>673764</v>
      </c>
    </row>
    <row r="91" spans="1:11" x14ac:dyDescent="0.3">
      <c r="A91" s="1" t="s">
        <v>109</v>
      </c>
      <c r="B91">
        <v>10091</v>
      </c>
      <c r="C91" s="1" t="s">
        <v>16</v>
      </c>
      <c r="D91" s="1" t="s">
        <v>16</v>
      </c>
      <c r="E91" s="1" t="s">
        <v>17</v>
      </c>
      <c r="F91" s="1" t="s">
        <v>13</v>
      </c>
      <c r="G91">
        <v>5</v>
      </c>
      <c r="H91">
        <v>3</v>
      </c>
      <c r="I91" s="1" t="s">
        <v>14</v>
      </c>
      <c r="J91">
        <v>52087</v>
      </c>
      <c r="K91">
        <f>HRDataset_v14_selected_columns[[#This Row],[Salary]]*12</f>
        <v>625044</v>
      </c>
    </row>
    <row r="92" spans="1:11" x14ac:dyDescent="0.3">
      <c r="A92" s="1" t="s">
        <v>110</v>
      </c>
      <c r="B92">
        <v>10027</v>
      </c>
      <c r="C92" s="1" t="s">
        <v>11</v>
      </c>
      <c r="D92" s="1" t="s">
        <v>11</v>
      </c>
      <c r="E92" s="1" t="s">
        <v>12</v>
      </c>
      <c r="F92" s="1" t="s">
        <v>13</v>
      </c>
      <c r="G92">
        <v>5</v>
      </c>
      <c r="H92">
        <v>4</v>
      </c>
      <c r="I92" s="1" t="s">
        <v>14</v>
      </c>
      <c r="J92">
        <v>60656</v>
      </c>
      <c r="K92">
        <f>HRDataset_v14_selected_columns[[#This Row],[Salary]]*12</f>
        <v>727872</v>
      </c>
    </row>
    <row r="93" spans="1:11" x14ac:dyDescent="0.3">
      <c r="A93" s="1" t="s">
        <v>111</v>
      </c>
      <c r="B93">
        <v>10157</v>
      </c>
      <c r="C93" s="1" t="s">
        <v>11</v>
      </c>
      <c r="D93" s="1" t="s">
        <v>11</v>
      </c>
      <c r="E93" s="1" t="s">
        <v>17</v>
      </c>
      <c r="F93" s="1" t="s">
        <v>13</v>
      </c>
      <c r="G93">
        <v>5</v>
      </c>
      <c r="H93">
        <v>3</v>
      </c>
      <c r="I93" s="1" t="s">
        <v>14</v>
      </c>
      <c r="J93">
        <v>58939</v>
      </c>
      <c r="K93">
        <f>HRDataset_v14_selected_columns[[#This Row],[Salary]]*12</f>
        <v>707268</v>
      </c>
    </row>
    <row r="94" spans="1:11" x14ac:dyDescent="0.3">
      <c r="A94" s="1" t="s">
        <v>112</v>
      </c>
      <c r="B94">
        <v>10302</v>
      </c>
      <c r="C94" s="1" t="s">
        <v>16</v>
      </c>
      <c r="D94" s="1" t="s">
        <v>16</v>
      </c>
      <c r="E94" s="1" t="s">
        <v>17</v>
      </c>
      <c r="F94" s="1" t="s">
        <v>13</v>
      </c>
      <c r="G94">
        <v>5</v>
      </c>
      <c r="H94">
        <v>1</v>
      </c>
      <c r="I94" s="1" t="s">
        <v>14</v>
      </c>
      <c r="J94">
        <v>64021</v>
      </c>
      <c r="K94">
        <f>HRDataset_v14_selected_columns[[#This Row],[Salary]]*12</f>
        <v>768252</v>
      </c>
    </row>
    <row r="95" spans="1:11" x14ac:dyDescent="0.3">
      <c r="A95" s="1" t="s">
        <v>113</v>
      </c>
      <c r="B95">
        <v>10090</v>
      </c>
      <c r="C95" s="1" t="s">
        <v>16</v>
      </c>
      <c r="D95" s="1" t="s">
        <v>16</v>
      </c>
      <c r="E95" s="1" t="s">
        <v>17</v>
      </c>
      <c r="F95" s="1" t="s">
        <v>13</v>
      </c>
      <c r="G95">
        <v>5</v>
      </c>
      <c r="H95">
        <v>3</v>
      </c>
      <c r="I95" s="1" t="s">
        <v>14</v>
      </c>
      <c r="J95">
        <v>65714</v>
      </c>
      <c r="K95">
        <f>HRDataset_v14_selected_columns[[#This Row],[Salary]]*12</f>
        <v>788568</v>
      </c>
    </row>
    <row r="96" spans="1:11" x14ac:dyDescent="0.3">
      <c r="A96" s="1" t="s">
        <v>114</v>
      </c>
      <c r="B96">
        <v>10278</v>
      </c>
      <c r="C96" s="1" t="s">
        <v>11</v>
      </c>
      <c r="D96" s="1" t="s">
        <v>25</v>
      </c>
      <c r="E96" s="1" t="s">
        <v>17</v>
      </c>
      <c r="F96" s="1" t="s">
        <v>13</v>
      </c>
      <c r="G96">
        <v>5</v>
      </c>
      <c r="H96">
        <v>3</v>
      </c>
      <c r="I96" s="1" t="s">
        <v>14</v>
      </c>
      <c r="J96">
        <v>47961</v>
      </c>
      <c r="K96">
        <f>HRDataset_v14_selected_columns[[#This Row],[Salary]]*12</f>
        <v>575532</v>
      </c>
    </row>
    <row r="97" spans="1:11" x14ac:dyDescent="0.3">
      <c r="A97" s="1" t="s">
        <v>115</v>
      </c>
      <c r="B97">
        <v>10266</v>
      </c>
      <c r="C97" s="1" t="s">
        <v>16</v>
      </c>
      <c r="D97" s="1" t="s">
        <v>16</v>
      </c>
      <c r="E97" s="1" t="s">
        <v>12</v>
      </c>
      <c r="F97" s="1" t="s">
        <v>13</v>
      </c>
      <c r="G97">
        <v>5</v>
      </c>
      <c r="H97">
        <v>3</v>
      </c>
      <c r="I97" s="1" t="s">
        <v>14</v>
      </c>
      <c r="J97">
        <v>61355</v>
      </c>
      <c r="K97">
        <f>HRDataset_v14_selected_columns[[#This Row],[Salary]]*12</f>
        <v>736260</v>
      </c>
    </row>
    <row r="98" spans="1:11" x14ac:dyDescent="0.3">
      <c r="A98" s="1" t="s">
        <v>116</v>
      </c>
      <c r="B98">
        <v>10158</v>
      </c>
      <c r="C98" s="1" t="s">
        <v>16</v>
      </c>
      <c r="D98" s="1" t="s">
        <v>16</v>
      </c>
      <c r="E98" s="1" t="s">
        <v>17</v>
      </c>
      <c r="F98" s="1" t="s">
        <v>13</v>
      </c>
      <c r="G98">
        <v>5</v>
      </c>
      <c r="H98">
        <v>3</v>
      </c>
      <c r="I98" s="1" t="s">
        <v>14</v>
      </c>
      <c r="J98">
        <v>63682</v>
      </c>
      <c r="K98">
        <f>HRDataset_v14_selected_columns[[#This Row],[Salary]]*12</f>
        <v>764184</v>
      </c>
    </row>
    <row r="99" spans="1:11" x14ac:dyDescent="0.3">
      <c r="A99" s="1" t="s">
        <v>117</v>
      </c>
      <c r="B99">
        <v>10117</v>
      </c>
      <c r="C99" s="1" t="s">
        <v>16</v>
      </c>
      <c r="D99" s="1" t="s">
        <v>16</v>
      </c>
      <c r="E99" s="1" t="s">
        <v>12</v>
      </c>
      <c r="F99" s="1" t="s">
        <v>13</v>
      </c>
      <c r="G99">
        <v>5</v>
      </c>
      <c r="H99">
        <v>3</v>
      </c>
      <c r="I99" s="1" t="s">
        <v>14</v>
      </c>
      <c r="J99">
        <v>63025</v>
      </c>
      <c r="K99">
        <f>HRDataset_v14_selected_columns[[#This Row],[Salary]]*12</f>
        <v>756300</v>
      </c>
    </row>
    <row r="100" spans="1:11" x14ac:dyDescent="0.3">
      <c r="A100" s="1" t="s">
        <v>118</v>
      </c>
      <c r="B100">
        <v>10209</v>
      </c>
      <c r="C100" s="1" t="s">
        <v>11</v>
      </c>
      <c r="D100" s="1" t="s">
        <v>11</v>
      </c>
      <c r="E100" s="1" t="s">
        <v>17</v>
      </c>
      <c r="F100" s="1" t="s">
        <v>13</v>
      </c>
      <c r="G100">
        <v>5</v>
      </c>
      <c r="H100">
        <v>3</v>
      </c>
      <c r="I100" s="1" t="s">
        <v>14</v>
      </c>
      <c r="J100">
        <v>59238</v>
      </c>
      <c r="K100">
        <f>HRDataset_v14_selected_columns[[#This Row],[Salary]]*12</f>
        <v>710856</v>
      </c>
    </row>
    <row r="101" spans="1:11" x14ac:dyDescent="0.3">
      <c r="A101" s="1" t="s">
        <v>119</v>
      </c>
      <c r="B101">
        <v>10123</v>
      </c>
      <c r="C101" s="1" t="s">
        <v>11</v>
      </c>
      <c r="D101" s="1" t="s">
        <v>25</v>
      </c>
      <c r="E101" s="1" t="s">
        <v>17</v>
      </c>
      <c r="F101" s="1" t="s">
        <v>13</v>
      </c>
      <c r="G101">
        <v>5</v>
      </c>
      <c r="H101">
        <v>3</v>
      </c>
      <c r="I101" s="1" t="s">
        <v>14</v>
      </c>
      <c r="J101">
        <v>56339</v>
      </c>
      <c r="K101">
        <f>HRDataset_v14_selected_columns[[#This Row],[Salary]]*12</f>
        <v>676068</v>
      </c>
    </row>
    <row r="102" spans="1:11" x14ac:dyDescent="0.3">
      <c r="A102" s="1" t="s">
        <v>120</v>
      </c>
      <c r="B102">
        <v>10287</v>
      </c>
      <c r="C102" s="1" t="s">
        <v>11</v>
      </c>
      <c r="D102" s="1" t="s">
        <v>11</v>
      </c>
      <c r="E102" s="1" t="s">
        <v>17</v>
      </c>
      <c r="F102" s="1" t="s">
        <v>13</v>
      </c>
      <c r="G102">
        <v>5</v>
      </c>
      <c r="H102">
        <v>2</v>
      </c>
      <c r="I102" s="1" t="s">
        <v>14</v>
      </c>
      <c r="J102">
        <v>63025</v>
      </c>
      <c r="K102">
        <f>HRDataset_v14_selected_columns[[#This Row],[Salary]]*12</f>
        <v>756300</v>
      </c>
    </row>
    <row r="103" spans="1:11" x14ac:dyDescent="0.3">
      <c r="A103" s="1" t="s">
        <v>121</v>
      </c>
      <c r="B103">
        <v>10144</v>
      </c>
      <c r="C103" s="1" t="s">
        <v>11</v>
      </c>
      <c r="D103" s="1" t="s">
        <v>25</v>
      </c>
      <c r="E103" s="1" t="s">
        <v>12</v>
      </c>
      <c r="F103" s="1" t="s">
        <v>13</v>
      </c>
      <c r="G103">
        <v>5</v>
      </c>
      <c r="H103">
        <v>3</v>
      </c>
      <c r="I103" s="1" t="s">
        <v>14</v>
      </c>
      <c r="J103">
        <v>88976</v>
      </c>
      <c r="K103">
        <f>HRDataset_v14_selected_columns[[#This Row],[Salary]]*12</f>
        <v>1067712</v>
      </c>
    </row>
    <row r="104" spans="1:11" x14ac:dyDescent="0.3">
      <c r="A104" s="1" t="s">
        <v>122</v>
      </c>
      <c r="B104">
        <v>10190</v>
      </c>
      <c r="C104" s="1" t="s">
        <v>11</v>
      </c>
      <c r="D104" s="1" t="s">
        <v>11</v>
      </c>
      <c r="E104" s="1" t="s">
        <v>12</v>
      </c>
      <c r="F104" s="1" t="s">
        <v>13</v>
      </c>
      <c r="G104">
        <v>5</v>
      </c>
      <c r="H104">
        <v>3</v>
      </c>
      <c r="I104" s="1" t="s">
        <v>14</v>
      </c>
      <c r="J104">
        <v>66541</v>
      </c>
      <c r="K104">
        <f>HRDataset_v14_selected_columns[[#This Row],[Salary]]*12</f>
        <v>798492</v>
      </c>
    </row>
    <row r="105" spans="1:11" x14ac:dyDescent="0.3">
      <c r="A105" s="1" t="s">
        <v>123</v>
      </c>
      <c r="B105">
        <v>10174</v>
      </c>
      <c r="C105" s="1" t="s">
        <v>11</v>
      </c>
      <c r="D105" s="1" t="s">
        <v>11</v>
      </c>
      <c r="E105" s="1" t="s">
        <v>17</v>
      </c>
      <c r="F105" s="1" t="s">
        <v>13</v>
      </c>
      <c r="G105">
        <v>5</v>
      </c>
      <c r="H105">
        <v>3</v>
      </c>
      <c r="I105" s="1" t="s">
        <v>14</v>
      </c>
      <c r="J105">
        <v>60446</v>
      </c>
      <c r="K105">
        <f>HRDataset_v14_selected_columns[[#This Row],[Salary]]*12</f>
        <v>725352</v>
      </c>
    </row>
    <row r="106" spans="1:11" x14ac:dyDescent="0.3">
      <c r="A106" s="1" t="s">
        <v>124</v>
      </c>
      <c r="B106">
        <v>10135</v>
      </c>
      <c r="C106" s="1" t="s">
        <v>11</v>
      </c>
      <c r="D106" s="1" t="s">
        <v>11</v>
      </c>
      <c r="E106" s="1" t="s">
        <v>12</v>
      </c>
      <c r="F106" s="1" t="s">
        <v>13</v>
      </c>
      <c r="G106">
        <v>5</v>
      </c>
      <c r="H106">
        <v>3</v>
      </c>
      <c r="I106" s="1" t="s">
        <v>14</v>
      </c>
      <c r="J106">
        <v>65893</v>
      </c>
      <c r="K106">
        <f>HRDataset_v14_selected_columns[[#This Row],[Salary]]*12</f>
        <v>790716</v>
      </c>
    </row>
    <row r="107" spans="1:11" x14ac:dyDescent="0.3">
      <c r="A107" s="1" t="s">
        <v>125</v>
      </c>
      <c r="B107">
        <v>10271</v>
      </c>
      <c r="C107" s="1" t="s">
        <v>11</v>
      </c>
      <c r="D107" s="1" t="s">
        <v>20</v>
      </c>
      <c r="E107" s="1" t="s">
        <v>17</v>
      </c>
      <c r="F107" s="1" t="s">
        <v>13</v>
      </c>
      <c r="G107">
        <v>5</v>
      </c>
      <c r="H107">
        <v>3</v>
      </c>
      <c r="I107" s="1" t="s">
        <v>14</v>
      </c>
      <c r="J107">
        <v>45046</v>
      </c>
      <c r="K107">
        <f>HRDataset_v14_selected_columns[[#This Row],[Salary]]*12</f>
        <v>540552</v>
      </c>
    </row>
    <row r="108" spans="1:11" x14ac:dyDescent="0.3">
      <c r="A108" s="1" t="s">
        <v>126</v>
      </c>
      <c r="B108">
        <v>10196</v>
      </c>
      <c r="C108" s="1" t="s">
        <v>16</v>
      </c>
      <c r="D108" s="1" t="s">
        <v>16</v>
      </c>
      <c r="E108" s="1" t="s">
        <v>17</v>
      </c>
      <c r="F108" s="1" t="s">
        <v>127</v>
      </c>
      <c r="G108">
        <v>5</v>
      </c>
      <c r="H108">
        <v>3</v>
      </c>
      <c r="I108" s="1" t="s">
        <v>14</v>
      </c>
      <c r="J108">
        <v>64955</v>
      </c>
      <c r="K108">
        <f>HRDataset_v14_selected_columns[[#This Row],[Salary]]*12</f>
        <v>779460</v>
      </c>
    </row>
    <row r="109" spans="1:11" x14ac:dyDescent="0.3">
      <c r="A109" s="1" t="s">
        <v>128</v>
      </c>
      <c r="B109">
        <v>10069</v>
      </c>
      <c r="C109" s="1" t="s">
        <v>11</v>
      </c>
      <c r="D109" s="1" t="s">
        <v>25</v>
      </c>
      <c r="E109" s="1" t="s">
        <v>17</v>
      </c>
      <c r="F109" s="1" t="s">
        <v>127</v>
      </c>
      <c r="G109">
        <v>5</v>
      </c>
      <c r="H109">
        <v>3</v>
      </c>
      <c r="I109" s="1" t="s">
        <v>14</v>
      </c>
      <c r="J109">
        <v>50825</v>
      </c>
      <c r="K109">
        <f>HRDataset_v14_selected_columns[[#This Row],[Salary]]*12</f>
        <v>609900</v>
      </c>
    </row>
    <row r="110" spans="1:11" x14ac:dyDescent="0.3">
      <c r="A110" s="1" t="s">
        <v>129</v>
      </c>
      <c r="B110">
        <v>10252</v>
      </c>
      <c r="C110" s="1" t="s">
        <v>16</v>
      </c>
      <c r="D110" s="1" t="s">
        <v>16</v>
      </c>
      <c r="E110" s="1" t="s">
        <v>17</v>
      </c>
      <c r="F110" s="1" t="s">
        <v>127</v>
      </c>
      <c r="G110">
        <v>5</v>
      </c>
      <c r="H110">
        <v>3</v>
      </c>
      <c r="I110" s="1" t="s">
        <v>63</v>
      </c>
      <c r="J110">
        <v>54670</v>
      </c>
      <c r="K110">
        <f>HRDataset_v14_selected_columns[[#This Row],[Salary]]*12</f>
        <v>656040</v>
      </c>
    </row>
    <row r="111" spans="1:11" x14ac:dyDescent="0.3">
      <c r="A111" s="1" t="s">
        <v>130</v>
      </c>
      <c r="B111">
        <v>10242</v>
      </c>
      <c r="C111" s="1" t="s">
        <v>16</v>
      </c>
      <c r="D111" s="1" t="s">
        <v>16</v>
      </c>
      <c r="E111" s="1" t="s">
        <v>12</v>
      </c>
      <c r="F111" s="1" t="s">
        <v>127</v>
      </c>
      <c r="G111">
        <v>5</v>
      </c>
      <c r="H111">
        <v>3</v>
      </c>
      <c r="I111" s="1" t="s">
        <v>63</v>
      </c>
      <c r="J111">
        <v>47211</v>
      </c>
      <c r="K111">
        <f>HRDataset_v14_selected_columns[[#This Row],[Salary]]*12</f>
        <v>566532</v>
      </c>
    </row>
    <row r="112" spans="1:11" x14ac:dyDescent="0.3">
      <c r="A112" s="1" t="s">
        <v>131</v>
      </c>
      <c r="B112">
        <v>10066</v>
      </c>
      <c r="C112" s="1" t="s">
        <v>11</v>
      </c>
      <c r="D112" s="1" t="s">
        <v>25</v>
      </c>
      <c r="E112" s="1" t="s">
        <v>12</v>
      </c>
      <c r="F112" s="1" t="s">
        <v>127</v>
      </c>
      <c r="G112">
        <v>5</v>
      </c>
      <c r="H112">
        <v>3</v>
      </c>
      <c r="I112" s="1" t="s">
        <v>14</v>
      </c>
      <c r="J112">
        <v>52505</v>
      </c>
      <c r="K112">
        <f>HRDataset_v14_selected_columns[[#This Row],[Salary]]*12</f>
        <v>630060</v>
      </c>
    </row>
    <row r="113" spans="1:11" x14ac:dyDescent="0.3">
      <c r="A113" s="1" t="s">
        <v>132</v>
      </c>
      <c r="B113">
        <v>10267</v>
      </c>
      <c r="C113" s="1" t="s">
        <v>11</v>
      </c>
      <c r="D113" s="1" t="s">
        <v>11</v>
      </c>
      <c r="E113" s="1" t="s">
        <v>17</v>
      </c>
      <c r="F113" s="1" t="s">
        <v>127</v>
      </c>
      <c r="G113">
        <v>5</v>
      </c>
      <c r="H113">
        <v>3</v>
      </c>
      <c r="I113" s="1" t="s">
        <v>14</v>
      </c>
      <c r="J113">
        <v>57815</v>
      </c>
      <c r="K113">
        <f>HRDataset_v14_selected_columns[[#This Row],[Salary]]*12</f>
        <v>693780</v>
      </c>
    </row>
    <row r="114" spans="1:11" x14ac:dyDescent="0.3">
      <c r="A114" s="1" t="s">
        <v>133</v>
      </c>
      <c r="B114">
        <v>10175</v>
      </c>
      <c r="C114" s="1" t="s">
        <v>11</v>
      </c>
      <c r="D114" s="1" t="s">
        <v>11</v>
      </c>
      <c r="E114" s="1" t="s">
        <v>12</v>
      </c>
      <c r="F114" s="1" t="s">
        <v>127</v>
      </c>
      <c r="G114">
        <v>5</v>
      </c>
      <c r="H114">
        <v>3</v>
      </c>
      <c r="I114" s="1" t="s">
        <v>14</v>
      </c>
      <c r="J114">
        <v>74312</v>
      </c>
      <c r="K114">
        <f>HRDataset_v14_selected_columns[[#This Row],[Salary]]*12</f>
        <v>891744</v>
      </c>
    </row>
    <row r="115" spans="1:11" x14ac:dyDescent="0.3">
      <c r="A115" s="1" t="s">
        <v>134</v>
      </c>
      <c r="B115">
        <v>10177</v>
      </c>
      <c r="C115" s="1" t="s">
        <v>16</v>
      </c>
      <c r="D115" s="1" t="s">
        <v>16</v>
      </c>
      <c r="E115" s="1" t="s">
        <v>17</v>
      </c>
      <c r="F115" s="1" t="s">
        <v>127</v>
      </c>
      <c r="G115">
        <v>5</v>
      </c>
      <c r="H115">
        <v>3</v>
      </c>
      <c r="I115" s="1" t="s">
        <v>14</v>
      </c>
      <c r="J115">
        <v>53492</v>
      </c>
      <c r="K115">
        <f>HRDataset_v14_selected_columns[[#This Row],[Salary]]*12</f>
        <v>641904</v>
      </c>
    </row>
    <row r="116" spans="1:11" x14ac:dyDescent="0.3">
      <c r="A116" s="1" t="s">
        <v>135</v>
      </c>
      <c r="B116">
        <v>10240</v>
      </c>
      <c r="C116" s="1" t="s">
        <v>11</v>
      </c>
      <c r="D116" s="1" t="s">
        <v>11</v>
      </c>
      <c r="E116" s="1" t="s">
        <v>17</v>
      </c>
      <c r="F116" s="1" t="s">
        <v>127</v>
      </c>
      <c r="G116">
        <v>5</v>
      </c>
      <c r="H116">
        <v>3</v>
      </c>
      <c r="I116" s="1" t="s">
        <v>14</v>
      </c>
      <c r="J116">
        <v>64786</v>
      </c>
      <c r="K116">
        <f>HRDataset_v14_selected_columns[[#This Row],[Salary]]*12</f>
        <v>777432</v>
      </c>
    </row>
    <row r="117" spans="1:11" x14ac:dyDescent="0.3">
      <c r="A117" s="1" t="s">
        <v>136</v>
      </c>
      <c r="B117">
        <v>10275</v>
      </c>
      <c r="C117" s="1" t="s">
        <v>16</v>
      </c>
      <c r="D117" s="1" t="s">
        <v>16</v>
      </c>
      <c r="E117" s="1" t="s">
        <v>17</v>
      </c>
      <c r="F117" s="1" t="s">
        <v>127</v>
      </c>
      <c r="G117">
        <v>5</v>
      </c>
      <c r="H117">
        <v>3</v>
      </c>
      <c r="I117" s="1" t="s">
        <v>14</v>
      </c>
      <c r="J117">
        <v>64066</v>
      </c>
      <c r="K117">
        <f>HRDataset_v14_selected_columns[[#This Row],[Salary]]*12</f>
        <v>768792</v>
      </c>
    </row>
    <row r="118" spans="1:11" x14ac:dyDescent="0.3">
      <c r="A118" s="1" t="s">
        <v>137</v>
      </c>
      <c r="B118">
        <v>10269</v>
      </c>
      <c r="C118" s="1" t="s">
        <v>16</v>
      </c>
      <c r="D118" s="1" t="s">
        <v>16</v>
      </c>
      <c r="E118" s="1" t="s">
        <v>12</v>
      </c>
      <c r="F118" s="1" t="s">
        <v>127</v>
      </c>
      <c r="G118">
        <v>5</v>
      </c>
      <c r="H118">
        <v>3</v>
      </c>
      <c r="I118" s="1" t="s">
        <v>14</v>
      </c>
      <c r="J118">
        <v>59369</v>
      </c>
      <c r="K118">
        <f>HRDataset_v14_selected_columns[[#This Row],[Salary]]*12</f>
        <v>712428</v>
      </c>
    </row>
    <row r="119" spans="1:11" x14ac:dyDescent="0.3">
      <c r="A119" s="1" t="s">
        <v>138</v>
      </c>
      <c r="B119">
        <v>10070</v>
      </c>
      <c r="C119" s="1" t="s">
        <v>16</v>
      </c>
      <c r="D119" s="1" t="s">
        <v>16</v>
      </c>
      <c r="E119" s="1" t="s">
        <v>12</v>
      </c>
      <c r="F119" s="1" t="s">
        <v>127</v>
      </c>
      <c r="G119">
        <v>5</v>
      </c>
      <c r="H119">
        <v>3</v>
      </c>
      <c r="I119" s="1" t="s">
        <v>14</v>
      </c>
      <c r="J119">
        <v>55722</v>
      </c>
      <c r="K119">
        <f>HRDataset_v14_selected_columns[[#This Row],[Salary]]*12</f>
        <v>668664</v>
      </c>
    </row>
    <row r="120" spans="1:11" x14ac:dyDescent="0.3">
      <c r="A120" s="1" t="s">
        <v>139</v>
      </c>
      <c r="B120">
        <v>10100</v>
      </c>
      <c r="C120" s="1" t="s">
        <v>11</v>
      </c>
      <c r="D120" s="1" t="s">
        <v>52</v>
      </c>
      <c r="E120" s="1" t="s">
        <v>17</v>
      </c>
      <c r="F120" s="1" t="s">
        <v>127</v>
      </c>
      <c r="G120">
        <v>5</v>
      </c>
      <c r="H120">
        <v>3</v>
      </c>
      <c r="I120" s="1" t="s">
        <v>14</v>
      </c>
      <c r="J120">
        <v>58275</v>
      </c>
      <c r="K120">
        <f>HRDataset_v14_selected_columns[[#This Row],[Salary]]*12</f>
        <v>699300</v>
      </c>
    </row>
    <row r="121" spans="1:11" x14ac:dyDescent="0.3">
      <c r="A121" s="1" t="s">
        <v>140</v>
      </c>
      <c r="B121">
        <v>10064</v>
      </c>
      <c r="C121" s="1" t="s">
        <v>16</v>
      </c>
      <c r="D121" s="1" t="s">
        <v>16</v>
      </c>
      <c r="E121" s="1" t="s">
        <v>17</v>
      </c>
      <c r="F121" s="1" t="s">
        <v>127</v>
      </c>
      <c r="G121">
        <v>5</v>
      </c>
      <c r="H121">
        <v>3</v>
      </c>
      <c r="I121" s="1" t="s">
        <v>14</v>
      </c>
      <c r="J121">
        <v>60070</v>
      </c>
      <c r="K121">
        <f>HRDataset_v14_selected_columns[[#This Row],[Salary]]*12</f>
        <v>720840</v>
      </c>
    </row>
    <row r="122" spans="1:11" x14ac:dyDescent="0.3">
      <c r="A122" s="1" t="s">
        <v>141</v>
      </c>
      <c r="B122">
        <v>10189</v>
      </c>
      <c r="C122" s="1" t="s">
        <v>16</v>
      </c>
      <c r="D122" s="1" t="s">
        <v>16</v>
      </c>
      <c r="E122" s="1" t="s">
        <v>17</v>
      </c>
      <c r="F122" s="1" t="s">
        <v>127</v>
      </c>
      <c r="G122">
        <v>5</v>
      </c>
      <c r="H122">
        <v>3</v>
      </c>
      <c r="I122" s="1" t="s">
        <v>14</v>
      </c>
      <c r="J122">
        <v>57748</v>
      </c>
      <c r="K122">
        <f>HRDataset_v14_selected_columns[[#This Row],[Salary]]*12</f>
        <v>692976</v>
      </c>
    </row>
    <row r="123" spans="1:11" x14ac:dyDescent="0.3">
      <c r="A123" s="1" t="s">
        <v>142</v>
      </c>
      <c r="B123">
        <v>10093</v>
      </c>
      <c r="C123" s="1" t="s">
        <v>11</v>
      </c>
      <c r="D123" s="1" t="s">
        <v>11</v>
      </c>
      <c r="E123" s="1" t="s">
        <v>12</v>
      </c>
      <c r="F123" s="1" t="s">
        <v>127</v>
      </c>
      <c r="G123">
        <v>5</v>
      </c>
      <c r="H123">
        <v>3</v>
      </c>
      <c r="I123" s="1" t="s">
        <v>14</v>
      </c>
      <c r="J123">
        <v>72609</v>
      </c>
      <c r="K123">
        <f>HRDataset_v14_selected_columns[[#This Row],[Salary]]*12</f>
        <v>871308</v>
      </c>
    </row>
    <row r="124" spans="1:11" x14ac:dyDescent="0.3">
      <c r="A124" s="1" t="s">
        <v>143</v>
      </c>
      <c r="B124">
        <v>10163</v>
      </c>
      <c r="C124" s="1" t="s">
        <v>16</v>
      </c>
      <c r="D124" s="1" t="s">
        <v>16</v>
      </c>
      <c r="E124" s="1" t="s">
        <v>17</v>
      </c>
      <c r="F124" s="1" t="s">
        <v>127</v>
      </c>
      <c r="G124">
        <v>5</v>
      </c>
      <c r="H124">
        <v>3</v>
      </c>
      <c r="I124" s="1" t="s">
        <v>14</v>
      </c>
      <c r="J124">
        <v>55965</v>
      </c>
      <c r="K124">
        <f>HRDataset_v14_selected_columns[[#This Row],[Salary]]*12</f>
        <v>671580</v>
      </c>
    </row>
    <row r="125" spans="1:11" x14ac:dyDescent="0.3">
      <c r="A125" s="1" t="s">
        <v>144</v>
      </c>
      <c r="B125">
        <v>10122</v>
      </c>
      <c r="C125" s="1" t="s">
        <v>11</v>
      </c>
      <c r="D125" s="1" t="s">
        <v>25</v>
      </c>
      <c r="E125" s="1" t="s">
        <v>17</v>
      </c>
      <c r="F125" s="1" t="s">
        <v>127</v>
      </c>
      <c r="G125">
        <v>5</v>
      </c>
      <c r="H125">
        <v>3</v>
      </c>
      <c r="I125" s="1" t="s">
        <v>63</v>
      </c>
      <c r="J125">
        <v>51505</v>
      </c>
      <c r="K125">
        <f>HRDataset_v14_selected_columns[[#This Row],[Salary]]*12</f>
        <v>618060</v>
      </c>
    </row>
    <row r="126" spans="1:11" x14ac:dyDescent="0.3">
      <c r="A126" s="1" t="s">
        <v>145</v>
      </c>
      <c r="B126">
        <v>10283</v>
      </c>
      <c r="C126" s="1" t="s">
        <v>16</v>
      </c>
      <c r="D126" s="1" t="s">
        <v>16</v>
      </c>
      <c r="E126" s="1" t="s">
        <v>12</v>
      </c>
      <c r="F126" s="1" t="s">
        <v>127</v>
      </c>
      <c r="G126">
        <v>5</v>
      </c>
      <c r="H126">
        <v>2</v>
      </c>
      <c r="I126" s="1" t="s">
        <v>63</v>
      </c>
      <c r="J126">
        <v>54933</v>
      </c>
      <c r="K126">
        <f>HRDataset_v14_selected_columns[[#This Row],[Salary]]*12</f>
        <v>659196</v>
      </c>
    </row>
    <row r="127" spans="1:11" x14ac:dyDescent="0.3">
      <c r="A127" s="1" t="s">
        <v>146</v>
      </c>
      <c r="B127">
        <v>10300</v>
      </c>
      <c r="C127" s="1" t="s">
        <v>16</v>
      </c>
      <c r="D127" s="1" t="s">
        <v>16</v>
      </c>
      <c r="E127" s="1" t="s">
        <v>12</v>
      </c>
      <c r="F127" s="1" t="s">
        <v>127</v>
      </c>
      <c r="G127">
        <v>5</v>
      </c>
      <c r="H127">
        <v>1</v>
      </c>
      <c r="I127" s="1" t="s">
        <v>63</v>
      </c>
      <c r="J127">
        <v>68898</v>
      </c>
      <c r="K127">
        <f>HRDataset_v14_selected_columns[[#This Row],[Salary]]*12</f>
        <v>826776</v>
      </c>
    </row>
    <row r="128" spans="1:11" x14ac:dyDescent="0.3">
      <c r="A128" s="1" t="s">
        <v>147</v>
      </c>
      <c r="B128">
        <v>10059</v>
      </c>
      <c r="C128" s="1" t="s">
        <v>11</v>
      </c>
      <c r="D128" s="1" t="s">
        <v>25</v>
      </c>
      <c r="E128" s="1" t="s">
        <v>17</v>
      </c>
      <c r="F128" s="1" t="s">
        <v>127</v>
      </c>
      <c r="G128">
        <v>5</v>
      </c>
      <c r="H128">
        <v>3</v>
      </c>
      <c r="I128" s="1" t="s">
        <v>14</v>
      </c>
      <c r="J128">
        <v>63813</v>
      </c>
      <c r="K128">
        <f>HRDataset_v14_selected_columns[[#This Row],[Salary]]*12</f>
        <v>765756</v>
      </c>
    </row>
    <row r="129" spans="1:11" x14ac:dyDescent="0.3">
      <c r="A129" s="1" t="s">
        <v>148</v>
      </c>
      <c r="B129">
        <v>10097</v>
      </c>
      <c r="C129" s="1" t="s">
        <v>11</v>
      </c>
      <c r="D129" s="1" t="s">
        <v>11</v>
      </c>
      <c r="E129" s="1" t="s">
        <v>17</v>
      </c>
      <c r="F129" s="1" t="s">
        <v>127</v>
      </c>
      <c r="G129">
        <v>5</v>
      </c>
      <c r="H129">
        <v>3</v>
      </c>
      <c r="I129" s="1" t="s">
        <v>14</v>
      </c>
      <c r="J129">
        <v>52177</v>
      </c>
      <c r="K129">
        <f>HRDataset_v14_selected_columns[[#This Row],[Salary]]*12</f>
        <v>626124</v>
      </c>
    </row>
    <row r="130" spans="1:11" x14ac:dyDescent="0.3">
      <c r="A130" s="1" t="s">
        <v>149</v>
      </c>
      <c r="B130">
        <v>10075</v>
      </c>
      <c r="C130" s="1" t="s">
        <v>11</v>
      </c>
      <c r="D130" s="1" t="s">
        <v>11</v>
      </c>
      <c r="E130" s="1" t="s">
        <v>17</v>
      </c>
      <c r="F130" s="1" t="s">
        <v>127</v>
      </c>
      <c r="G130">
        <v>5</v>
      </c>
      <c r="H130">
        <v>3</v>
      </c>
      <c r="I130" s="1" t="s">
        <v>14</v>
      </c>
      <c r="J130">
        <v>68099</v>
      </c>
      <c r="K130">
        <f>HRDataset_v14_selected_columns[[#This Row],[Salary]]*12</f>
        <v>817188</v>
      </c>
    </row>
    <row r="131" spans="1:11" x14ac:dyDescent="0.3">
      <c r="A131" s="1" t="s">
        <v>150</v>
      </c>
      <c r="B131">
        <v>10195</v>
      </c>
      <c r="C131" s="1" t="s">
        <v>16</v>
      </c>
      <c r="D131" s="1" t="s">
        <v>16</v>
      </c>
      <c r="E131" s="1" t="s">
        <v>17</v>
      </c>
      <c r="F131" s="1" t="s">
        <v>127</v>
      </c>
      <c r="G131">
        <v>5</v>
      </c>
      <c r="H131">
        <v>3</v>
      </c>
      <c r="I131" s="1" t="s">
        <v>14</v>
      </c>
      <c r="J131">
        <v>63478</v>
      </c>
      <c r="K131">
        <f>HRDataset_v14_selected_columns[[#This Row],[Salary]]*12</f>
        <v>761736</v>
      </c>
    </row>
    <row r="132" spans="1:11" x14ac:dyDescent="0.3">
      <c r="A132" s="1" t="s">
        <v>151</v>
      </c>
      <c r="B132">
        <v>10160</v>
      </c>
      <c r="C132" s="1" t="s">
        <v>11</v>
      </c>
      <c r="D132" s="1" t="s">
        <v>25</v>
      </c>
      <c r="E132" s="1" t="s">
        <v>17</v>
      </c>
      <c r="F132" s="1" t="s">
        <v>127</v>
      </c>
      <c r="G132">
        <v>5</v>
      </c>
      <c r="H132">
        <v>3</v>
      </c>
      <c r="I132" s="1" t="s">
        <v>14</v>
      </c>
      <c r="J132">
        <v>68182</v>
      </c>
      <c r="K132">
        <f>HRDataset_v14_selected_columns[[#This Row],[Salary]]*12</f>
        <v>818184</v>
      </c>
    </row>
    <row r="133" spans="1:11" x14ac:dyDescent="0.3">
      <c r="A133" s="1" t="s">
        <v>152</v>
      </c>
      <c r="B133">
        <v>10289</v>
      </c>
      <c r="C133" s="1" t="s">
        <v>16</v>
      </c>
      <c r="D133" s="1" t="s">
        <v>16</v>
      </c>
      <c r="E133" s="1" t="s">
        <v>12</v>
      </c>
      <c r="F133" s="1" t="s">
        <v>127</v>
      </c>
      <c r="G133">
        <v>5</v>
      </c>
      <c r="H133">
        <v>2</v>
      </c>
      <c r="I133" s="1" t="s">
        <v>14</v>
      </c>
      <c r="J133">
        <v>83082</v>
      </c>
      <c r="K133">
        <f>HRDataset_v14_selected_columns[[#This Row],[Salary]]*12</f>
        <v>996984</v>
      </c>
    </row>
    <row r="134" spans="1:11" x14ac:dyDescent="0.3">
      <c r="A134" s="1" t="s">
        <v>153</v>
      </c>
      <c r="B134">
        <v>10034</v>
      </c>
      <c r="C134" s="1" t="s">
        <v>16</v>
      </c>
      <c r="D134" s="1" t="s">
        <v>16</v>
      </c>
      <c r="E134" s="1" t="s">
        <v>12</v>
      </c>
      <c r="F134" s="1" t="s">
        <v>127</v>
      </c>
      <c r="G134">
        <v>5</v>
      </c>
      <c r="H134">
        <v>4</v>
      </c>
      <c r="I134" s="1" t="s">
        <v>14</v>
      </c>
      <c r="J134">
        <v>46837</v>
      </c>
      <c r="K134">
        <f>HRDataset_v14_selected_columns[[#This Row],[Salary]]*12</f>
        <v>562044</v>
      </c>
    </row>
    <row r="135" spans="1:11" x14ac:dyDescent="0.3">
      <c r="A135" s="1" t="s">
        <v>154</v>
      </c>
      <c r="B135">
        <v>10138</v>
      </c>
      <c r="C135" s="1" t="s">
        <v>16</v>
      </c>
      <c r="D135" s="1" t="s">
        <v>16</v>
      </c>
      <c r="E135" s="1" t="s">
        <v>17</v>
      </c>
      <c r="F135" s="1" t="s">
        <v>127</v>
      </c>
      <c r="G135">
        <v>5</v>
      </c>
      <c r="H135">
        <v>3</v>
      </c>
      <c r="I135" s="1" t="s">
        <v>14</v>
      </c>
      <c r="J135">
        <v>61154</v>
      </c>
      <c r="K135">
        <f>HRDataset_v14_selected_columns[[#This Row],[Salary]]*12</f>
        <v>733848</v>
      </c>
    </row>
    <row r="136" spans="1:11" x14ac:dyDescent="0.3">
      <c r="A136" s="1" t="s">
        <v>155</v>
      </c>
      <c r="B136">
        <v>10166</v>
      </c>
      <c r="C136" s="1" t="s">
        <v>16</v>
      </c>
      <c r="D136" s="1" t="s">
        <v>16</v>
      </c>
      <c r="E136" s="1" t="s">
        <v>17</v>
      </c>
      <c r="F136" s="1" t="s">
        <v>127</v>
      </c>
      <c r="G136">
        <v>5</v>
      </c>
      <c r="H136">
        <v>3</v>
      </c>
      <c r="I136" s="1" t="s">
        <v>14</v>
      </c>
      <c r="J136">
        <v>54005</v>
      </c>
      <c r="K136">
        <f>HRDataset_v14_selected_columns[[#This Row],[Salary]]*12</f>
        <v>648060</v>
      </c>
    </row>
    <row r="137" spans="1:11" x14ac:dyDescent="0.3">
      <c r="A137" s="1" t="s">
        <v>156</v>
      </c>
      <c r="B137">
        <v>10170</v>
      </c>
      <c r="C137" s="1" t="s">
        <v>16</v>
      </c>
      <c r="D137" s="1" t="s">
        <v>16</v>
      </c>
      <c r="E137" s="1" t="s">
        <v>17</v>
      </c>
      <c r="F137" s="1" t="s">
        <v>127</v>
      </c>
      <c r="G137">
        <v>5</v>
      </c>
      <c r="H137">
        <v>3</v>
      </c>
      <c r="I137" s="1" t="s">
        <v>14</v>
      </c>
      <c r="J137">
        <v>45433</v>
      </c>
      <c r="K137">
        <f>HRDataset_v14_selected_columns[[#This Row],[Salary]]*12</f>
        <v>545196</v>
      </c>
    </row>
    <row r="138" spans="1:11" x14ac:dyDescent="0.3">
      <c r="A138" s="1" t="s">
        <v>157</v>
      </c>
      <c r="B138">
        <v>10106</v>
      </c>
      <c r="C138" s="1" t="s">
        <v>11</v>
      </c>
      <c r="D138" s="1" t="s">
        <v>25</v>
      </c>
      <c r="E138" s="1" t="s">
        <v>17</v>
      </c>
      <c r="F138" s="1" t="s">
        <v>127</v>
      </c>
      <c r="G138">
        <v>5</v>
      </c>
      <c r="H138">
        <v>3</v>
      </c>
      <c r="I138" s="1" t="s">
        <v>14</v>
      </c>
      <c r="J138">
        <v>66074</v>
      </c>
      <c r="K138">
        <f>HRDataset_v14_selected_columns[[#This Row],[Salary]]*12</f>
        <v>792888</v>
      </c>
    </row>
    <row r="139" spans="1:11" x14ac:dyDescent="0.3">
      <c r="A139" s="1" t="s">
        <v>158</v>
      </c>
      <c r="B139">
        <v>10249</v>
      </c>
      <c r="C139" s="1" t="s">
        <v>16</v>
      </c>
      <c r="D139" s="1" t="s">
        <v>16</v>
      </c>
      <c r="E139" s="1" t="s">
        <v>12</v>
      </c>
      <c r="F139" s="1" t="s">
        <v>127</v>
      </c>
      <c r="G139">
        <v>5</v>
      </c>
      <c r="H139">
        <v>3</v>
      </c>
      <c r="I139" s="1" t="s">
        <v>14</v>
      </c>
      <c r="J139">
        <v>61962</v>
      </c>
      <c r="K139">
        <f>HRDataset_v14_selected_columns[[#This Row],[Salary]]*12</f>
        <v>743544</v>
      </c>
    </row>
    <row r="140" spans="1:11" x14ac:dyDescent="0.3">
      <c r="A140" s="1" t="s">
        <v>159</v>
      </c>
      <c r="B140">
        <v>10087</v>
      </c>
      <c r="C140" s="1" t="s">
        <v>11</v>
      </c>
      <c r="D140" s="1" t="s">
        <v>11</v>
      </c>
      <c r="E140" s="1" t="s">
        <v>17</v>
      </c>
      <c r="F140" s="1" t="s">
        <v>127</v>
      </c>
      <c r="G140">
        <v>5</v>
      </c>
      <c r="H140">
        <v>3</v>
      </c>
      <c r="I140" s="1" t="s">
        <v>14</v>
      </c>
      <c r="J140">
        <v>63676</v>
      </c>
      <c r="K140">
        <f>HRDataset_v14_selected_columns[[#This Row],[Salary]]*12</f>
        <v>764112</v>
      </c>
    </row>
    <row r="141" spans="1:11" x14ac:dyDescent="0.3">
      <c r="A141" s="1" t="s">
        <v>160</v>
      </c>
      <c r="B141">
        <v>10186</v>
      </c>
      <c r="C141" s="1" t="s">
        <v>16</v>
      </c>
      <c r="D141" s="1" t="s">
        <v>16</v>
      </c>
      <c r="E141" s="1" t="s">
        <v>17</v>
      </c>
      <c r="F141" s="1" t="s">
        <v>127</v>
      </c>
      <c r="G141">
        <v>5</v>
      </c>
      <c r="H141">
        <v>3</v>
      </c>
      <c r="I141" s="1" t="s">
        <v>14</v>
      </c>
      <c r="J141">
        <v>52624</v>
      </c>
      <c r="K141">
        <f>HRDataset_v14_selected_columns[[#This Row],[Salary]]*12</f>
        <v>631488</v>
      </c>
    </row>
    <row r="142" spans="1:11" x14ac:dyDescent="0.3">
      <c r="A142" s="1" t="s">
        <v>161</v>
      </c>
      <c r="B142">
        <v>10096</v>
      </c>
      <c r="C142" s="1" t="s">
        <v>11</v>
      </c>
      <c r="D142" s="1" t="s">
        <v>20</v>
      </c>
      <c r="E142" s="1" t="s">
        <v>17</v>
      </c>
      <c r="F142" s="1" t="s">
        <v>127</v>
      </c>
      <c r="G142">
        <v>5</v>
      </c>
      <c r="H142">
        <v>3</v>
      </c>
      <c r="I142" s="1" t="s">
        <v>14</v>
      </c>
      <c r="J142">
        <v>67237</v>
      </c>
      <c r="K142">
        <f>HRDataset_v14_selected_columns[[#This Row],[Salary]]*12</f>
        <v>806844</v>
      </c>
    </row>
    <row r="143" spans="1:11" x14ac:dyDescent="0.3">
      <c r="A143" s="1" t="s">
        <v>162</v>
      </c>
      <c r="B143">
        <v>10004</v>
      </c>
      <c r="C143" s="1" t="s">
        <v>11</v>
      </c>
      <c r="D143" s="1" t="s">
        <v>11</v>
      </c>
      <c r="E143" s="1" t="s">
        <v>17</v>
      </c>
      <c r="F143" s="1" t="s">
        <v>127</v>
      </c>
      <c r="G143">
        <v>5</v>
      </c>
      <c r="H143">
        <v>4</v>
      </c>
      <c r="I143" s="1" t="s">
        <v>63</v>
      </c>
      <c r="J143">
        <v>47434</v>
      </c>
      <c r="K143">
        <f>HRDataset_v14_selected_columns[[#This Row],[Salary]]*12</f>
        <v>569208</v>
      </c>
    </row>
    <row r="144" spans="1:11" x14ac:dyDescent="0.3">
      <c r="A144" s="1" t="s">
        <v>163</v>
      </c>
      <c r="B144">
        <v>10191</v>
      </c>
      <c r="C144" s="1" t="s">
        <v>11</v>
      </c>
      <c r="D144" s="1" t="s">
        <v>20</v>
      </c>
      <c r="E144" s="1" t="s">
        <v>12</v>
      </c>
      <c r="F144" s="1" t="s">
        <v>127</v>
      </c>
      <c r="G144">
        <v>5</v>
      </c>
      <c r="H144">
        <v>3</v>
      </c>
      <c r="I144" s="1" t="s">
        <v>14</v>
      </c>
      <c r="J144">
        <v>52788</v>
      </c>
      <c r="K144">
        <f>HRDataset_v14_selected_columns[[#This Row],[Salary]]*12</f>
        <v>633456</v>
      </c>
    </row>
    <row r="145" spans="1:11" x14ac:dyDescent="0.3">
      <c r="A145" s="1" t="s">
        <v>164</v>
      </c>
      <c r="B145">
        <v>10073</v>
      </c>
      <c r="C145" s="1" t="s">
        <v>16</v>
      </c>
      <c r="D145" s="1" t="s">
        <v>16</v>
      </c>
      <c r="E145" s="1" t="s">
        <v>17</v>
      </c>
      <c r="F145" s="1" t="s">
        <v>127</v>
      </c>
      <c r="G145">
        <v>5</v>
      </c>
      <c r="H145">
        <v>3</v>
      </c>
      <c r="I145" s="1" t="s">
        <v>14</v>
      </c>
      <c r="J145">
        <v>68407</v>
      </c>
      <c r="K145">
        <f>HRDataset_v14_selected_columns[[#This Row],[Salary]]*12</f>
        <v>820884</v>
      </c>
    </row>
    <row r="146" spans="1:11" x14ac:dyDescent="0.3">
      <c r="A146" s="1" t="s">
        <v>165</v>
      </c>
      <c r="B146">
        <v>10128</v>
      </c>
      <c r="C146" s="1" t="s">
        <v>11</v>
      </c>
      <c r="D146" s="1" t="s">
        <v>11</v>
      </c>
      <c r="E146" s="1" t="s">
        <v>17</v>
      </c>
      <c r="F146" s="1" t="s">
        <v>127</v>
      </c>
      <c r="G146">
        <v>5</v>
      </c>
      <c r="H146">
        <v>3</v>
      </c>
      <c r="I146" s="1" t="s">
        <v>63</v>
      </c>
      <c r="J146">
        <v>62659</v>
      </c>
      <c r="K146">
        <f>HRDataset_v14_selected_columns[[#This Row],[Salary]]*12</f>
        <v>751908</v>
      </c>
    </row>
    <row r="147" spans="1:11" x14ac:dyDescent="0.3">
      <c r="A147" s="1" t="s">
        <v>166</v>
      </c>
      <c r="B147">
        <v>10298</v>
      </c>
      <c r="C147" s="1" t="s">
        <v>11</v>
      </c>
      <c r="D147" s="1" t="s">
        <v>11</v>
      </c>
      <c r="E147" s="1" t="s">
        <v>12</v>
      </c>
      <c r="F147" s="1" t="s">
        <v>127</v>
      </c>
      <c r="G147">
        <v>5</v>
      </c>
      <c r="H147">
        <v>1</v>
      </c>
      <c r="I147" s="1" t="s">
        <v>14</v>
      </c>
      <c r="J147">
        <v>55800</v>
      </c>
      <c r="K147">
        <f>HRDataset_v14_selected_columns[[#This Row],[Salary]]*12</f>
        <v>669600</v>
      </c>
    </row>
    <row r="148" spans="1:11" x14ac:dyDescent="0.3">
      <c r="A148" s="1" t="s">
        <v>167</v>
      </c>
      <c r="B148">
        <v>10215</v>
      </c>
      <c r="C148" s="1" t="s">
        <v>11</v>
      </c>
      <c r="D148" s="1" t="s">
        <v>11</v>
      </c>
      <c r="E148" s="1" t="s">
        <v>12</v>
      </c>
      <c r="F148" s="1" t="s">
        <v>127</v>
      </c>
      <c r="G148">
        <v>5</v>
      </c>
      <c r="H148">
        <v>3</v>
      </c>
      <c r="I148" s="1" t="s">
        <v>63</v>
      </c>
      <c r="J148">
        <v>50470</v>
      </c>
      <c r="K148">
        <f>HRDataset_v14_selected_columns[[#This Row],[Salary]]*12</f>
        <v>605640</v>
      </c>
    </row>
    <row r="149" spans="1:11" x14ac:dyDescent="0.3">
      <c r="A149" s="1" t="s">
        <v>168</v>
      </c>
      <c r="B149">
        <v>10185</v>
      </c>
      <c r="C149" s="1" t="s">
        <v>16</v>
      </c>
      <c r="D149" s="1" t="s">
        <v>16</v>
      </c>
      <c r="E149" s="1" t="s">
        <v>12</v>
      </c>
      <c r="F149" s="1" t="s">
        <v>127</v>
      </c>
      <c r="G149">
        <v>5</v>
      </c>
      <c r="H149">
        <v>3</v>
      </c>
      <c r="I149" s="1" t="s">
        <v>14</v>
      </c>
      <c r="J149">
        <v>46664</v>
      </c>
      <c r="K149">
        <f>HRDataset_v14_selected_columns[[#This Row],[Salary]]*12</f>
        <v>559968</v>
      </c>
    </row>
    <row r="150" spans="1:11" x14ac:dyDescent="0.3">
      <c r="A150" s="1" t="s">
        <v>169</v>
      </c>
      <c r="B150">
        <v>10078</v>
      </c>
      <c r="C150" s="1" t="s">
        <v>16</v>
      </c>
      <c r="D150" s="1" t="s">
        <v>16</v>
      </c>
      <c r="E150" s="1" t="s">
        <v>17</v>
      </c>
      <c r="F150" s="1" t="s">
        <v>127</v>
      </c>
      <c r="G150">
        <v>5</v>
      </c>
      <c r="H150">
        <v>3</v>
      </c>
      <c r="I150" s="1" t="s">
        <v>14</v>
      </c>
      <c r="J150">
        <v>71966</v>
      </c>
      <c r="K150">
        <f>HRDataset_v14_selected_columns[[#This Row],[Salary]]*12</f>
        <v>863592</v>
      </c>
    </row>
    <row r="151" spans="1:11" x14ac:dyDescent="0.3">
      <c r="A151" s="1" t="s">
        <v>170</v>
      </c>
      <c r="B151">
        <v>10148</v>
      </c>
      <c r="C151" s="1" t="s">
        <v>16</v>
      </c>
      <c r="D151" s="1" t="s">
        <v>16</v>
      </c>
      <c r="E151" s="1" t="s">
        <v>17</v>
      </c>
      <c r="F151" s="1" t="s">
        <v>127</v>
      </c>
      <c r="G151">
        <v>5</v>
      </c>
      <c r="H151">
        <v>3</v>
      </c>
      <c r="I151" s="1" t="s">
        <v>14</v>
      </c>
      <c r="J151">
        <v>63515</v>
      </c>
      <c r="K151">
        <f>HRDataset_v14_selected_columns[[#This Row],[Salary]]*12</f>
        <v>762180</v>
      </c>
    </row>
    <row r="152" spans="1:11" x14ac:dyDescent="0.3">
      <c r="A152" s="1" t="s">
        <v>171</v>
      </c>
      <c r="B152">
        <v>10286</v>
      </c>
      <c r="C152" s="1" t="s">
        <v>11</v>
      </c>
      <c r="D152" s="1" t="s">
        <v>11</v>
      </c>
      <c r="E152" s="1" t="s">
        <v>12</v>
      </c>
      <c r="F152" s="1" t="s">
        <v>127</v>
      </c>
      <c r="G152">
        <v>5</v>
      </c>
      <c r="H152">
        <v>2</v>
      </c>
      <c r="I152" s="1" t="s">
        <v>14</v>
      </c>
      <c r="J152">
        <v>53564</v>
      </c>
      <c r="K152">
        <f>HRDataset_v14_selected_columns[[#This Row],[Salary]]*12</f>
        <v>642768</v>
      </c>
    </row>
    <row r="153" spans="1:11" x14ac:dyDescent="0.3">
      <c r="A153" s="1" t="s">
        <v>172</v>
      </c>
      <c r="B153">
        <v>10297</v>
      </c>
      <c r="C153" s="1" t="s">
        <v>16</v>
      </c>
      <c r="D153" s="1" t="s">
        <v>16</v>
      </c>
      <c r="E153" s="1" t="s">
        <v>17</v>
      </c>
      <c r="F153" s="1" t="s">
        <v>127</v>
      </c>
      <c r="G153">
        <v>5</v>
      </c>
      <c r="H153">
        <v>2</v>
      </c>
      <c r="I153" s="1" t="s">
        <v>14</v>
      </c>
      <c r="J153">
        <v>60270</v>
      </c>
      <c r="K153">
        <f>HRDataset_v14_selected_columns[[#This Row],[Salary]]*12</f>
        <v>723240</v>
      </c>
    </row>
    <row r="154" spans="1:11" x14ac:dyDescent="0.3">
      <c r="A154" s="1" t="s">
        <v>173</v>
      </c>
      <c r="B154">
        <v>10171</v>
      </c>
      <c r="C154" s="1" t="s">
        <v>11</v>
      </c>
      <c r="D154" s="1" t="s">
        <v>11</v>
      </c>
      <c r="E154" s="1" t="s">
        <v>17</v>
      </c>
      <c r="F154" s="1" t="s">
        <v>127</v>
      </c>
      <c r="G154">
        <v>5</v>
      </c>
      <c r="H154">
        <v>3</v>
      </c>
      <c r="I154" s="1" t="s">
        <v>14</v>
      </c>
      <c r="J154">
        <v>45998</v>
      </c>
      <c r="K154">
        <f>HRDataset_v14_selected_columns[[#This Row],[Salary]]*12</f>
        <v>551976</v>
      </c>
    </row>
    <row r="155" spans="1:11" x14ac:dyDescent="0.3">
      <c r="A155" s="1" t="s">
        <v>174</v>
      </c>
      <c r="B155">
        <v>10032</v>
      </c>
      <c r="C155" s="1" t="s">
        <v>16</v>
      </c>
      <c r="D155" s="1" t="s">
        <v>16</v>
      </c>
      <c r="E155" s="1" t="s">
        <v>17</v>
      </c>
      <c r="F155" s="1" t="s">
        <v>127</v>
      </c>
      <c r="G155">
        <v>5</v>
      </c>
      <c r="H155">
        <v>4</v>
      </c>
      <c r="I155" s="1" t="s">
        <v>14</v>
      </c>
      <c r="J155">
        <v>57954</v>
      </c>
      <c r="K155">
        <f>HRDataset_v14_selected_columns[[#This Row],[Salary]]*12</f>
        <v>695448</v>
      </c>
    </row>
    <row r="156" spans="1:11" x14ac:dyDescent="0.3">
      <c r="A156" s="1" t="s">
        <v>175</v>
      </c>
      <c r="B156">
        <v>10130</v>
      </c>
      <c r="C156" s="1" t="s">
        <v>16</v>
      </c>
      <c r="D156" s="1" t="s">
        <v>16</v>
      </c>
      <c r="E156" s="1" t="s">
        <v>17</v>
      </c>
      <c r="F156" s="1" t="s">
        <v>127</v>
      </c>
      <c r="G156">
        <v>5</v>
      </c>
      <c r="H156">
        <v>3</v>
      </c>
      <c r="I156" s="1" t="s">
        <v>14</v>
      </c>
      <c r="J156">
        <v>74669</v>
      </c>
      <c r="K156">
        <f>HRDataset_v14_selected_columns[[#This Row],[Salary]]*12</f>
        <v>896028</v>
      </c>
    </row>
    <row r="157" spans="1:11" x14ac:dyDescent="0.3">
      <c r="A157" s="1" t="s">
        <v>176</v>
      </c>
      <c r="B157">
        <v>10050</v>
      </c>
      <c r="C157" s="1" t="s">
        <v>16</v>
      </c>
      <c r="D157" s="1" t="s">
        <v>16</v>
      </c>
      <c r="E157" s="1" t="s">
        <v>12</v>
      </c>
      <c r="F157" s="1" t="s">
        <v>127</v>
      </c>
      <c r="G157">
        <v>5</v>
      </c>
      <c r="H157">
        <v>3</v>
      </c>
      <c r="I157" s="1" t="s">
        <v>14</v>
      </c>
      <c r="J157">
        <v>64724</v>
      </c>
      <c r="K157">
        <f>HRDataset_v14_selected_columns[[#This Row],[Salary]]*12</f>
        <v>776688</v>
      </c>
    </row>
    <row r="158" spans="1:11" x14ac:dyDescent="0.3">
      <c r="A158" s="1" t="s">
        <v>177</v>
      </c>
      <c r="B158">
        <v>10187</v>
      </c>
      <c r="C158" s="1" t="s">
        <v>11</v>
      </c>
      <c r="D158" s="1" t="s">
        <v>25</v>
      </c>
      <c r="E158" s="1" t="s">
        <v>17</v>
      </c>
      <c r="F158" s="1" t="s">
        <v>127</v>
      </c>
      <c r="G158">
        <v>5</v>
      </c>
      <c r="H158">
        <v>3</v>
      </c>
      <c r="I158" s="1" t="s">
        <v>14</v>
      </c>
      <c r="J158">
        <v>46799</v>
      </c>
      <c r="K158">
        <f>HRDataset_v14_selected_columns[[#This Row],[Salary]]*12</f>
        <v>561588</v>
      </c>
    </row>
    <row r="159" spans="1:11" x14ac:dyDescent="0.3">
      <c r="A159" s="1" t="s">
        <v>178</v>
      </c>
      <c r="B159">
        <v>10262</v>
      </c>
      <c r="C159" s="1" t="s">
        <v>11</v>
      </c>
      <c r="D159" s="1" t="s">
        <v>25</v>
      </c>
      <c r="E159" s="1" t="s">
        <v>17</v>
      </c>
      <c r="F159" s="1" t="s">
        <v>127</v>
      </c>
      <c r="G159">
        <v>5</v>
      </c>
      <c r="H159">
        <v>3</v>
      </c>
      <c r="I159" s="1" t="s">
        <v>14</v>
      </c>
      <c r="J159">
        <v>46430</v>
      </c>
      <c r="K159">
        <f>HRDataset_v14_selected_columns[[#This Row],[Salary]]*12</f>
        <v>557160</v>
      </c>
    </row>
    <row r="160" spans="1:11" x14ac:dyDescent="0.3">
      <c r="A160" s="1" t="s">
        <v>179</v>
      </c>
      <c r="B160">
        <v>10152</v>
      </c>
      <c r="C160" s="1" t="s">
        <v>11</v>
      </c>
      <c r="D160" s="1" t="s">
        <v>25</v>
      </c>
      <c r="E160" s="1" t="s">
        <v>12</v>
      </c>
      <c r="F160" s="1" t="s">
        <v>127</v>
      </c>
      <c r="G160">
        <v>5</v>
      </c>
      <c r="H160">
        <v>3</v>
      </c>
      <c r="I160" s="1" t="s">
        <v>14</v>
      </c>
      <c r="J160">
        <v>61729</v>
      </c>
      <c r="K160">
        <f>HRDataset_v14_selected_columns[[#This Row],[Salary]]*12</f>
        <v>740748</v>
      </c>
    </row>
    <row r="161" spans="1:11" x14ac:dyDescent="0.3">
      <c r="A161" s="1" t="s">
        <v>180</v>
      </c>
      <c r="B161">
        <v>10058</v>
      </c>
      <c r="C161" s="1" t="s">
        <v>11</v>
      </c>
      <c r="D161" s="1" t="s">
        <v>25</v>
      </c>
      <c r="E161" s="1" t="s">
        <v>12</v>
      </c>
      <c r="F161" s="1" t="s">
        <v>127</v>
      </c>
      <c r="G161">
        <v>5</v>
      </c>
      <c r="H161">
        <v>3</v>
      </c>
      <c r="I161" s="1" t="s">
        <v>14</v>
      </c>
      <c r="J161">
        <v>45115</v>
      </c>
      <c r="K161">
        <f>HRDataset_v14_selected_columns[[#This Row],[Salary]]*12</f>
        <v>541380</v>
      </c>
    </row>
    <row r="162" spans="1:11" x14ac:dyDescent="0.3">
      <c r="A162" s="1" t="s">
        <v>181</v>
      </c>
      <c r="B162">
        <v>10230</v>
      </c>
      <c r="C162" s="1" t="s">
        <v>11</v>
      </c>
      <c r="D162" s="1" t="s">
        <v>25</v>
      </c>
      <c r="E162" s="1" t="s">
        <v>17</v>
      </c>
      <c r="F162" s="1" t="s">
        <v>127</v>
      </c>
      <c r="G162">
        <v>5</v>
      </c>
      <c r="H162">
        <v>3</v>
      </c>
      <c r="I162" s="1" t="s">
        <v>14</v>
      </c>
      <c r="J162">
        <v>64971</v>
      </c>
      <c r="K162">
        <f>HRDataset_v14_selected_columns[[#This Row],[Salary]]*12</f>
        <v>779652</v>
      </c>
    </row>
    <row r="163" spans="1:11" x14ac:dyDescent="0.3">
      <c r="A163" s="1" t="s">
        <v>182</v>
      </c>
      <c r="B163">
        <v>10224</v>
      </c>
      <c r="C163" s="1" t="s">
        <v>16</v>
      </c>
      <c r="D163" s="1" t="s">
        <v>16</v>
      </c>
      <c r="E163" s="1" t="s">
        <v>12</v>
      </c>
      <c r="F163" s="1" t="s">
        <v>127</v>
      </c>
      <c r="G163">
        <v>5</v>
      </c>
      <c r="H163">
        <v>3</v>
      </c>
      <c r="I163" s="1" t="s">
        <v>14</v>
      </c>
      <c r="J163">
        <v>55578</v>
      </c>
      <c r="K163">
        <f>HRDataset_v14_selected_columns[[#This Row],[Salary]]*12</f>
        <v>666936</v>
      </c>
    </row>
    <row r="164" spans="1:11" x14ac:dyDescent="0.3">
      <c r="A164" s="1" t="s">
        <v>183</v>
      </c>
      <c r="B164">
        <v>10047</v>
      </c>
      <c r="C164" s="1" t="s">
        <v>16</v>
      </c>
      <c r="D164" s="1" t="s">
        <v>16</v>
      </c>
      <c r="E164" s="1" t="s">
        <v>12</v>
      </c>
      <c r="F164" s="1" t="s">
        <v>127</v>
      </c>
      <c r="G164">
        <v>5</v>
      </c>
      <c r="H164">
        <v>3</v>
      </c>
      <c r="I164" s="1" t="s">
        <v>14</v>
      </c>
      <c r="J164">
        <v>50428</v>
      </c>
      <c r="K164">
        <f>HRDataset_v14_selected_columns[[#This Row],[Salary]]*12</f>
        <v>605136</v>
      </c>
    </row>
    <row r="165" spans="1:11" x14ac:dyDescent="0.3">
      <c r="A165" s="1" t="s">
        <v>184</v>
      </c>
      <c r="B165">
        <v>10065</v>
      </c>
      <c r="C165" s="1" t="s">
        <v>11</v>
      </c>
      <c r="D165" s="1" t="s">
        <v>11</v>
      </c>
      <c r="E165" s="1" t="s">
        <v>12</v>
      </c>
      <c r="F165" s="1" t="s">
        <v>127</v>
      </c>
      <c r="G165">
        <v>5</v>
      </c>
      <c r="H165">
        <v>3</v>
      </c>
      <c r="I165" s="1" t="s">
        <v>14</v>
      </c>
      <c r="J165">
        <v>53180</v>
      </c>
      <c r="K165">
        <f>HRDataset_v14_selected_columns[[#This Row],[Salary]]*12</f>
        <v>638160</v>
      </c>
    </row>
    <row r="166" spans="1:11" x14ac:dyDescent="0.3">
      <c r="A166" s="1" t="s">
        <v>185</v>
      </c>
      <c r="B166">
        <v>10260</v>
      </c>
      <c r="C166" s="1" t="s">
        <v>11</v>
      </c>
      <c r="D166" s="1" t="s">
        <v>11</v>
      </c>
      <c r="E166" s="1" t="s">
        <v>12</v>
      </c>
      <c r="F166" s="1" t="s">
        <v>127</v>
      </c>
      <c r="G166">
        <v>5</v>
      </c>
      <c r="H166">
        <v>3</v>
      </c>
      <c r="I166" s="1" t="s">
        <v>14</v>
      </c>
      <c r="J166">
        <v>46428</v>
      </c>
      <c r="K166">
        <f>HRDataset_v14_selected_columns[[#This Row],[Salary]]*12</f>
        <v>557136</v>
      </c>
    </row>
    <row r="167" spans="1:11" x14ac:dyDescent="0.3">
      <c r="A167" s="1" t="s">
        <v>186</v>
      </c>
      <c r="B167">
        <v>10095</v>
      </c>
      <c r="C167" s="1" t="s">
        <v>11</v>
      </c>
      <c r="D167" s="1" t="s">
        <v>11</v>
      </c>
      <c r="E167" s="1" t="s">
        <v>17</v>
      </c>
      <c r="F167" s="1" t="s">
        <v>127</v>
      </c>
      <c r="G167">
        <v>5</v>
      </c>
      <c r="H167">
        <v>3</v>
      </c>
      <c r="I167" s="1" t="s">
        <v>14</v>
      </c>
      <c r="J167">
        <v>63878</v>
      </c>
      <c r="K167">
        <f>HRDataset_v14_selected_columns[[#This Row],[Salary]]*12</f>
        <v>766536</v>
      </c>
    </row>
    <row r="168" spans="1:11" x14ac:dyDescent="0.3">
      <c r="A168" s="1" t="s">
        <v>187</v>
      </c>
      <c r="B168">
        <v>10030</v>
      </c>
      <c r="C168" s="1" t="s">
        <v>11</v>
      </c>
      <c r="D168" s="1" t="s">
        <v>25</v>
      </c>
      <c r="E168" s="1" t="s">
        <v>17</v>
      </c>
      <c r="F168" s="1" t="s">
        <v>127</v>
      </c>
      <c r="G168">
        <v>5</v>
      </c>
      <c r="H168">
        <v>4</v>
      </c>
      <c r="I168" s="1" t="s">
        <v>14</v>
      </c>
      <c r="J168">
        <v>62425</v>
      </c>
      <c r="K168">
        <f>HRDataset_v14_selected_columns[[#This Row],[Salary]]*12</f>
        <v>749100</v>
      </c>
    </row>
    <row r="169" spans="1:11" x14ac:dyDescent="0.3">
      <c r="A169" s="1" t="s">
        <v>188</v>
      </c>
      <c r="B169">
        <v>10221</v>
      </c>
      <c r="C169" s="1" t="s">
        <v>16</v>
      </c>
      <c r="D169" s="1" t="s">
        <v>16</v>
      </c>
      <c r="E169" s="1" t="s">
        <v>17</v>
      </c>
      <c r="F169" s="1" t="s">
        <v>127</v>
      </c>
      <c r="G169">
        <v>5</v>
      </c>
      <c r="H169">
        <v>3</v>
      </c>
      <c r="I169" s="1" t="s">
        <v>63</v>
      </c>
      <c r="J169">
        <v>60754</v>
      </c>
      <c r="K169">
        <f>HRDataset_v14_selected_columns[[#This Row],[Salary]]*12</f>
        <v>729048</v>
      </c>
    </row>
    <row r="170" spans="1:11" x14ac:dyDescent="0.3">
      <c r="A170" s="1" t="s">
        <v>189</v>
      </c>
      <c r="B170">
        <v>10146</v>
      </c>
      <c r="C170" s="1" t="s">
        <v>16</v>
      </c>
      <c r="D170" s="1" t="s">
        <v>16</v>
      </c>
      <c r="E170" s="1" t="s">
        <v>17</v>
      </c>
      <c r="F170" s="1" t="s">
        <v>127</v>
      </c>
      <c r="G170">
        <v>5</v>
      </c>
      <c r="H170">
        <v>3</v>
      </c>
      <c r="I170" s="1" t="s">
        <v>14</v>
      </c>
      <c r="J170">
        <v>72202</v>
      </c>
      <c r="K170">
        <f>HRDataset_v14_selected_columns[[#This Row],[Salary]]*12</f>
        <v>866424</v>
      </c>
    </row>
    <row r="171" spans="1:11" x14ac:dyDescent="0.3">
      <c r="A171" s="1" t="s">
        <v>190</v>
      </c>
      <c r="B171">
        <v>10141</v>
      </c>
      <c r="C171" s="1" t="s">
        <v>11</v>
      </c>
      <c r="D171" s="1" t="s">
        <v>11</v>
      </c>
      <c r="E171" s="1" t="s">
        <v>17</v>
      </c>
      <c r="F171" s="1" t="s">
        <v>127</v>
      </c>
      <c r="G171">
        <v>5</v>
      </c>
      <c r="H171">
        <v>3</v>
      </c>
      <c r="I171" s="1" t="s">
        <v>14</v>
      </c>
      <c r="J171">
        <v>48413</v>
      </c>
      <c r="K171">
        <f>HRDataset_v14_selected_columns[[#This Row],[Salary]]*12</f>
        <v>580956</v>
      </c>
    </row>
    <row r="172" spans="1:11" x14ac:dyDescent="0.3">
      <c r="A172" s="1" t="s">
        <v>191</v>
      </c>
      <c r="B172">
        <v>10268</v>
      </c>
      <c r="C172" s="1" t="s">
        <v>11</v>
      </c>
      <c r="D172" s="1" t="s">
        <v>20</v>
      </c>
      <c r="E172" s="1" t="s">
        <v>12</v>
      </c>
      <c r="F172" s="1" t="s">
        <v>127</v>
      </c>
      <c r="G172">
        <v>5</v>
      </c>
      <c r="H172">
        <v>3</v>
      </c>
      <c r="I172" s="1" t="s">
        <v>14</v>
      </c>
      <c r="J172">
        <v>67176</v>
      </c>
      <c r="K172">
        <f>HRDataset_v14_selected_columns[[#This Row],[Salary]]*12</f>
        <v>806112</v>
      </c>
    </row>
    <row r="173" spans="1:11" x14ac:dyDescent="0.3">
      <c r="A173" s="1" t="s">
        <v>192</v>
      </c>
      <c r="B173">
        <v>10270</v>
      </c>
      <c r="C173" s="1" t="s">
        <v>11</v>
      </c>
      <c r="D173" s="1" t="s">
        <v>11</v>
      </c>
      <c r="E173" s="1" t="s">
        <v>17</v>
      </c>
      <c r="F173" s="1" t="s">
        <v>127</v>
      </c>
      <c r="G173">
        <v>5</v>
      </c>
      <c r="H173">
        <v>3</v>
      </c>
      <c r="I173" s="1" t="s">
        <v>14</v>
      </c>
      <c r="J173">
        <v>74813</v>
      </c>
      <c r="K173">
        <f>HRDataset_v14_selected_columns[[#This Row],[Salary]]*12</f>
        <v>897756</v>
      </c>
    </row>
    <row r="174" spans="1:11" x14ac:dyDescent="0.3">
      <c r="A174" s="1" t="s">
        <v>193</v>
      </c>
      <c r="B174">
        <v>10014</v>
      </c>
      <c r="C174" s="1" t="s">
        <v>11</v>
      </c>
      <c r="D174" s="1" t="s">
        <v>25</v>
      </c>
      <c r="E174" s="1" t="s">
        <v>12</v>
      </c>
      <c r="F174" s="1" t="s">
        <v>127</v>
      </c>
      <c r="G174">
        <v>5</v>
      </c>
      <c r="H174">
        <v>4</v>
      </c>
      <c r="I174" s="1" t="s">
        <v>14</v>
      </c>
      <c r="J174">
        <v>58523</v>
      </c>
      <c r="K174">
        <f>HRDataset_v14_selected_columns[[#This Row],[Salary]]*12</f>
        <v>702276</v>
      </c>
    </row>
    <row r="175" spans="1:11" x14ac:dyDescent="0.3">
      <c r="A175" s="1" t="s">
        <v>194</v>
      </c>
      <c r="B175">
        <v>10274</v>
      </c>
      <c r="C175" s="1" t="s">
        <v>16</v>
      </c>
      <c r="D175" s="1" t="s">
        <v>16</v>
      </c>
      <c r="E175" s="1" t="s">
        <v>17</v>
      </c>
      <c r="F175" s="1" t="s">
        <v>127</v>
      </c>
      <c r="G175">
        <v>5</v>
      </c>
      <c r="H175">
        <v>3</v>
      </c>
      <c r="I175" s="1" t="s">
        <v>63</v>
      </c>
      <c r="J175">
        <v>80512</v>
      </c>
      <c r="K175">
        <f>HRDataset_v14_selected_columns[[#This Row],[Salary]]*12</f>
        <v>966144</v>
      </c>
    </row>
    <row r="176" spans="1:11" x14ac:dyDescent="0.3">
      <c r="A176" s="1" t="s">
        <v>195</v>
      </c>
      <c r="B176">
        <v>10293</v>
      </c>
      <c r="C176" s="1" t="s">
        <v>11</v>
      </c>
      <c r="D176" s="1" t="s">
        <v>11</v>
      </c>
      <c r="E176" s="1" t="s">
        <v>17</v>
      </c>
      <c r="F176" s="1" t="s">
        <v>127</v>
      </c>
      <c r="G176">
        <v>5</v>
      </c>
      <c r="H176">
        <v>2</v>
      </c>
      <c r="I176" s="1" t="s">
        <v>14</v>
      </c>
      <c r="J176">
        <v>50274</v>
      </c>
      <c r="K176">
        <f>HRDataset_v14_selected_columns[[#This Row],[Salary]]*12</f>
        <v>603288</v>
      </c>
    </row>
    <row r="177" spans="1:11" x14ac:dyDescent="0.3">
      <c r="A177" s="1" t="s">
        <v>196</v>
      </c>
      <c r="B177">
        <v>10072</v>
      </c>
      <c r="C177" s="1" t="s">
        <v>11</v>
      </c>
      <c r="D177" s="1" t="s">
        <v>11</v>
      </c>
      <c r="E177" s="1" t="s">
        <v>12</v>
      </c>
      <c r="F177" s="1" t="s">
        <v>127</v>
      </c>
      <c r="G177">
        <v>5</v>
      </c>
      <c r="H177">
        <v>3</v>
      </c>
      <c r="I177" s="1" t="s">
        <v>14</v>
      </c>
      <c r="J177">
        <v>58371</v>
      </c>
      <c r="K177">
        <f>HRDataset_v14_selected_columns[[#This Row],[Salary]]*12</f>
        <v>700452</v>
      </c>
    </row>
    <row r="178" spans="1:11" x14ac:dyDescent="0.3">
      <c r="A178" s="1" t="s">
        <v>197</v>
      </c>
      <c r="B178">
        <v>10048</v>
      </c>
      <c r="C178" s="1" t="s">
        <v>16</v>
      </c>
      <c r="D178" s="1" t="s">
        <v>16</v>
      </c>
      <c r="E178" s="1" t="s">
        <v>12</v>
      </c>
      <c r="F178" s="1" t="s">
        <v>127</v>
      </c>
      <c r="G178">
        <v>5</v>
      </c>
      <c r="H178">
        <v>3</v>
      </c>
      <c r="I178" s="1" t="s">
        <v>14</v>
      </c>
      <c r="J178">
        <v>55140</v>
      </c>
      <c r="K178">
        <f>HRDataset_v14_selected_columns[[#This Row],[Salary]]*12</f>
        <v>661680</v>
      </c>
    </row>
    <row r="179" spans="1:11" x14ac:dyDescent="0.3">
      <c r="A179" s="1" t="s">
        <v>198</v>
      </c>
      <c r="B179">
        <v>10204</v>
      </c>
      <c r="C179" s="1" t="s">
        <v>11</v>
      </c>
      <c r="D179" s="1" t="s">
        <v>25</v>
      </c>
      <c r="E179" s="1" t="s">
        <v>17</v>
      </c>
      <c r="F179" s="1" t="s">
        <v>127</v>
      </c>
      <c r="G179">
        <v>5</v>
      </c>
      <c r="H179">
        <v>3</v>
      </c>
      <c r="I179" s="1" t="s">
        <v>14</v>
      </c>
      <c r="J179">
        <v>58062</v>
      </c>
      <c r="K179">
        <f>HRDataset_v14_selected_columns[[#This Row],[Salary]]*12</f>
        <v>696744</v>
      </c>
    </row>
    <row r="180" spans="1:11" x14ac:dyDescent="0.3">
      <c r="A180" s="1" t="s">
        <v>199</v>
      </c>
      <c r="B180">
        <v>10264</v>
      </c>
      <c r="C180" s="1" t="s">
        <v>11</v>
      </c>
      <c r="D180" s="1" t="s">
        <v>11</v>
      </c>
      <c r="E180" s="1" t="s">
        <v>17</v>
      </c>
      <c r="F180" s="1" t="s">
        <v>127</v>
      </c>
      <c r="G180">
        <v>5</v>
      </c>
      <c r="H180">
        <v>3</v>
      </c>
      <c r="I180" s="1" t="s">
        <v>63</v>
      </c>
      <c r="J180">
        <v>59728</v>
      </c>
      <c r="K180">
        <f>HRDataset_v14_selected_columns[[#This Row],[Salary]]*12</f>
        <v>716736</v>
      </c>
    </row>
    <row r="181" spans="1:11" x14ac:dyDescent="0.3">
      <c r="A181" s="1" t="s">
        <v>200</v>
      </c>
      <c r="B181">
        <v>10033</v>
      </c>
      <c r="C181" s="1" t="s">
        <v>11</v>
      </c>
      <c r="D181" s="1" t="s">
        <v>11</v>
      </c>
      <c r="E181" s="1" t="s">
        <v>12</v>
      </c>
      <c r="F181" s="1" t="s">
        <v>127</v>
      </c>
      <c r="G181">
        <v>5</v>
      </c>
      <c r="H181">
        <v>4</v>
      </c>
      <c r="I181" s="1" t="s">
        <v>14</v>
      </c>
      <c r="J181">
        <v>70507</v>
      </c>
      <c r="K181">
        <f>HRDataset_v14_selected_columns[[#This Row],[Salary]]*12</f>
        <v>846084</v>
      </c>
    </row>
    <row r="182" spans="1:11" x14ac:dyDescent="0.3">
      <c r="A182" s="1" t="s">
        <v>201</v>
      </c>
      <c r="B182">
        <v>10301</v>
      </c>
      <c r="C182" s="1" t="s">
        <v>11</v>
      </c>
      <c r="D182" s="1" t="s">
        <v>11</v>
      </c>
      <c r="E182" s="1" t="s">
        <v>17</v>
      </c>
      <c r="F182" s="1" t="s">
        <v>127</v>
      </c>
      <c r="G182">
        <v>5</v>
      </c>
      <c r="H182">
        <v>1</v>
      </c>
      <c r="I182" s="1" t="s">
        <v>14</v>
      </c>
      <c r="J182">
        <v>48513</v>
      </c>
      <c r="K182">
        <f>HRDataset_v14_selected_columns[[#This Row],[Salary]]*12</f>
        <v>582156</v>
      </c>
    </row>
    <row r="183" spans="1:11" x14ac:dyDescent="0.3">
      <c r="A183" s="1" t="s">
        <v>202</v>
      </c>
      <c r="B183">
        <v>10114</v>
      </c>
      <c r="C183" s="1" t="s">
        <v>11</v>
      </c>
      <c r="D183" s="1" t="s">
        <v>11</v>
      </c>
      <c r="E183" s="1" t="s">
        <v>17</v>
      </c>
      <c r="F183" s="1" t="s">
        <v>203</v>
      </c>
      <c r="G183">
        <v>5</v>
      </c>
      <c r="H183">
        <v>3</v>
      </c>
      <c r="I183" s="1" t="s">
        <v>63</v>
      </c>
      <c r="J183">
        <v>47837</v>
      </c>
      <c r="K183">
        <f>HRDataset_v14_selected_columns[[#This Row],[Salary]]*12</f>
        <v>574044</v>
      </c>
    </row>
    <row r="184" spans="1:11" x14ac:dyDescent="0.3">
      <c r="A184" s="1" t="s">
        <v>204</v>
      </c>
      <c r="B184">
        <v>10061</v>
      </c>
      <c r="C184" s="1" t="s">
        <v>11</v>
      </c>
      <c r="D184" s="1" t="s">
        <v>11</v>
      </c>
      <c r="E184" s="1" t="s">
        <v>12</v>
      </c>
      <c r="F184" s="1" t="s">
        <v>205</v>
      </c>
      <c r="G184">
        <v>5</v>
      </c>
      <c r="H184">
        <v>3</v>
      </c>
      <c r="I184" s="1" t="s">
        <v>14</v>
      </c>
      <c r="J184">
        <v>57834</v>
      </c>
      <c r="K184">
        <f>HRDataset_v14_selected_columns[[#This Row],[Salary]]*12</f>
        <v>694008</v>
      </c>
    </row>
    <row r="185" spans="1:11" x14ac:dyDescent="0.3">
      <c r="A185" s="1" t="s">
        <v>206</v>
      </c>
      <c r="B185">
        <v>10023</v>
      </c>
      <c r="C185" s="1" t="s">
        <v>16</v>
      </c>
      <c r="D185" s="1" t="s">
        <v>16</v>
      </c>
      <c r="E185" s="1" t="s">
        <v>17</v>
      </c>
      <c r="F185" s="1" t="s">
        <v>207</v>
      </c>
      <c r="G185">
        <v>5</v>
      </c>
      <c r="H185">
        <v>4</v>
      </c>
      <c r="I185" s="1" t="s">
        <v>14</v>
      </c>
      <c r="J185">
        <v>70131</v>
      </c>
      <c r="K185">
        <f>HRDataset_v14_selected_columns[[#This Row],[Salary]]*12</f>
        <v>841572</v>
      </c>
    </row>
    <row r="186" spans="1:11" x14ac:dyDescent="0.3">
      <c r="A186" s="1" t="s">
        <v>208</v>
      </c>
      <c r="B186">
        <v>10277</v>
      </c>
      <c r="C186" s="1" t="s">
        <v>11</v>
      </c>
      <c r="D186" s="1" t="s">
        <v>11</v>
      </c>
      <c r="E186" s="1" t="s">
        <v>12</v>
      </c>
      <c r="F186" s="1" t="s">
        <v>203</v>
      </c>
      <c r="G186">
        <v>5</v>
      </c>
      <c r="H186">
        <v>3</v>
      </c>
      <c r="I186" s="1" t="s">
        <v>14</v>
      </c>
      <c r="J186">
        <v>53250</v>
      </c>
      <c r="K186">
        <f>HRDataset_v14_selected_columns[[#This Row],[Salary]]*12</f>
        <v>639000</v>
      </c>
    </row>
    <row r="187" spans="1:11" x14ac:dyDescent="0.3">
      <c r="A187" s="1" t="s">
        <v>209</v>
      </c>
      <c r="B187">
        <v>10203</v>
      </c>
      <c r="C187" s="1" t="s">
        <v>11</v>
      </c>
      <c r="D187" s="1" t="s">
        <v>52</v>
      </c>
      <c r="E187" s="1" t="s">
        <v>17</v>
      </c>
      <c r="F187" s="1" t="s">
        <v>203</v>
      </c>
      <c r="G187">
        <v>5</v>
      </c>
      <c r="H187">
        <v>3</v>
      </c>
      <c r="I187" s="1" t="s">
        <v>63</v>
      </c>
      <c r="J187">
        <v>64375</v>
      </c>
      <c r="K187">
        <f>HRDataset_v14_selected_columns[[#This Row],[Salary]]*12</f>
        <v>772500</v>
      </c>
    </row>
    <row r="188" spans="1:11" x14ac:dyDescent="0.3">
      <c r="A188" s="1" t="s">
        <v>210</v>
      </c>
      <c r="B188">
        <v>10029</v>
      </c>
      <c r="C188" s="1" t="s">
        <v>16</v>
      </c>
      <c r="D188" s="1" t="s">
        <v>16</v>
      </c>
      <c r="E188" s="1" t="s">
        <v>12</v>
      </c>
      <c r="F188" s="1" t="s">
        <v>207</v>
      </c>
      <c r="G188">
        <v>5</v>
      </c>
      <c r="H188">
        <v>4</v>
      </c>
      <c r="I188" s="1" t="s">
        <v>14</v>
      </c>
      <c r="J188">
        <v>50373</v>
      </c>
      <c r="K188">
        <f>HRDataset_v14_selected_columns[[#This Row],[Salary]]*12</f>
        <v>604476</v>
      </c>
    </row>
    <row r="189" spans="1:11" x14ac:dyDescent="0.3">
      <c r="A189" s="1" t="s">
        <v>211</v>
      </c>
      <c r="B189">
        <v>10292</v>
      </c>
      <c r="C189" s="1" t="s">
        <v>11</v>
      </c>
      <c r="D189" s="1" t="s">
        <v>11</v>
      </c>
      <c r="E189" s="1" t="s">
        <v>12</v>
      </c>
      <c r="F189" s="1" t="s">
        <v>205</v>
      </c>
      <c r="G189">
        <v>5</v>
      </c>
      <c r="H189">
        <v>2</v>
      </c>
      <c r="I189" s="1" t="s">
        <v>14</v>
      </c>
      <c r="J189">
        <v>59144</v>
      </c>
      <c r="K189">
        <f>HRDataset_v14_selected_columns[[#This Row],[Salary]]*12</f>
        <v>709728</v>
      </c>
    </row>
    <row r="190" spans="1:11" x14ac:dyDescent="0.3">
      <c r="A190" s="1" t="s">
        <v>212</v>
      </c>
      <c r="B190">
        <v>10132</v>
      </c>
      <c r="C190" s="1" t="s">
        <v>11</v>
      </c>
      <c r="D190" s="1" t="s">
        <v>11</v>
      </c>
      <c r="E190" s="1" t="s">
        <v>17</v>
      </c>
      <c r="F190" s="1" t="s">
        <v>207</v>
      </c>
      <c r="G190">
        <v>5</v>
      </c>
      <c r="H190">
        <v>3</v>
      </c>
      <c r="I190" s="1" t="s">
        <v>14</v>
      </c>
      <c r="J190">
        <v>56149</v>
      </c>
      <c r="K190">
        <f>HRDataset_v14_selected_columns[[#This Row],[Salary]]*12</f>
        <v>673788</v>
      </c>
    </row>
    <row r="191" spans="1:11" x14ac:dyDescent="0.3">
      <c r="A191" s="1" t="s">
        <v>213</v>
      </c>
      <c r="B191">
        <v>10280</v>
      </c>
      <c r="C191" s="1" t="s">
        <v>11</v>
      </c>
      <c r="D191" s="1" t="s">
        <v>11</v>
      </c>
      <c r="E191" s="1" t="s">
        <v>12</v>
      </c>
      <c r="F191" s="1" t="s">
        <v>205</v>
      </c>
      <c r="G191">
        <v>5</v>
      </c>
      <c r="H191">
        <v>2</v>
      </c>
      <c r="I191" s="1" t="s">
        <v>14</v>
      </c>
      <c r="J191">
        <v>60340</v>
      </c>
      <c r="K191">
        <f>HRDataset_v14_selected_columns[[#This Row],[Salary]]*12</f>
        <v>724080</v>
      </c>
    </row>
    <row r="192" spans="1:11" x14ac:dyDescent="0.3">
      <c r="A192" s="1" t="s">
        <v>214</v>
      </c>
      <c r="B192">
        <v>10296</v>
      </c>
      <c r="C192" s="1" t="s">
        <v>11</v>
      </c>
      <c r="D192" s="1" t="s">
        <v>11</v>
      </c>
      <c r="E192" s="1" t="s">
        <v>17</v>
      </c>
      <c r="F192" s="1" t="s">
        <v>205</v>
      </c>
      <c r="G192">
        <v>5</v>
      </c>
      <c r="H192">
        <v>2</v>
      </c>
      <c r="I192" s="1" t="s">
        <v>14</v>
      </c>
      <c r="J192">
        <v>59124</v>
      </c>
      <c r="K192">
        <f>HRDataset_v14_selected_columns[[#This Row],[Salary]]*12</f>
        <v>709488</v>
      </c>
    </row>
    <row r="193" spans="1:11" x14ac:dyDescent="0.3">
      <c r="A193" s="1" t="s">
        <v>215</v>
      </c>
      <c r="B193">
        <v>10237</v>
      </c>
      <c r="C193" s="1" t="s">
        <v>16</v>
      </c>
      <c r="D193" s="1" t="s">
        <v>16</v>
      </c>
      <c r="E193" s="1" t="s">
        <v>17</v>
      </c>
      <c r="F193" s="1" t="s">
        <v>203</v>
      </c>
      <c r="G193">
        <v>5</v>
      </c>
      <c r="H193">
        <v>3</v>
      </c>
      <c r="I193" s="1" t="s">
        <v>14</v>
      </c>
      <c r="J193">
        <v>66825</v>
      </c>
      <c r="K193">
        <f>HRDataset_v14_selected_columns[[#This Row],[Salary]]*12</f>
        <v>801900</v>
      </c>
    </row>
    <row r="194" spans="1:11" x14ac:dyDescent="0.3">
      <c r="A194" s="1" t="s">
        <v>216</v>
      </c>
      <c r="B194">
        <v>10218</v>
      </c>
      <c r="C194" s="1" t="s">
        <v>11</v>
      </c>
      <c r="D194" s="1" t="s">
        <v>52</v>
      </c>
      <c r="E194" s="1" t="s">
        <v>17</v>
      </c>
      <c r="F194" s="1" t="s">
        <v>203</v>
      </c>
      <c r="G194">
        <v>5</v>
      </c>
      <c r="H194">
        <v>3</v>
      </c>
      <c r="I194" s="1" t="s">
        <v>14</v>
      </c>
      <c r="J194">
        <v>66149</v>
      </c>
      <c r="K194">
        <f>HRDataset_v14_selected_columns[[#This Row],[Salary]]*12</f>
        <v>793788</v>
      </c>
    </row>
    <row r="195" spans="1:11" x14ac:dyDescent="0.3">
      <c r="A195" s="1" t="s">
        <v>217</v>
      </c>
      <c r="B195">
        <v>10256</v>
      </c>
      <c r="C195" s="1" t="s">
        <v>16</v>
      </c>
      <c r="D195" s="1" t="s">
        <v>16</v>
      </c>
      <c r="E195" s="1" t="s">
        <v>17</v>
      </c>
      <c r="F195" s="1" t="s">
        <v>203</v>
      </c>
      <c r="G195">
        <v>5</v>
      </c>
      <c r="H195">
        <v>3</v>
      </c>
      <c r="I195" s="1" t="s">
        <v>14</v>
      </c>
      <c r="J195">
        <v>49256</v>
      </c>
      <c r="K195">
        <f>HRDataset_v14_selected_columns[[#This Row],[Salary]]*12</f>
        <v>591072</v>
      </c>
    </row>
    <row r="196" spans="1:11" x14ac:dyDescent="0.3">
      <c r="A196" s="1" t="s">
        <v>218</v>
      </c>
      <c r="B196">
        <v>10201</v>
      </c>
      <c r="C196" s="1" t="s">
        <v>11</v>
      </c>
      <c r="D196" s="1" t="s">
        <v>11</v>
      </c>
      <c r="E196" s="1" t="s">
        <v>17</v>
      </c>
      <c r="F196" s="1" t="s">
        <v>207</v>
      </c>
      <c r="G196">
        <v>5</v>
      </c>
      <c r="H196">
        <v>3</v>
      </c>
      <c r="I196" s="1" t="s">
        <v>14</v>
      </c>
      <c r="J196">
        <v>69340</v>
      </c>
      <c r="K196">
        <f>HRDataset_v14_selected_columns[[#This Row],[Salary]]*12</f>
        <v>832080</v>
      </c>
    </row>
    <row r="197" spans="1:11" x14ac:dyDescent="0.3">
      <c r="A197" s="1" t="s">
        <v>219</v>
      </c>
      <c r="B197">
        <v>10214</v>
      </c>
      <c r="C197" s="1" t="s">
        <v>11</v>
      </c>
      <c r="D197" s="1" t="s">
        <v>52</v>
      </c>
      <c r="E197" s="1" t="s">
        <v>17</v>
      </c>
      <c r="F197" s="1" t="s">
        <v>207</v>
      </c>
      <c r="G197">
        <v>5</v>
      </c>
      <c r="H197">
        <v>3</v>
      </c>
      <c r="I197" s="1" t="s">
        <v>14</v>
      </c>
      <c r="J197">
        <v>64995</v>
      </c>
      <c r="K197">
        <f>HRDataset_v14_selected_columns[[#This Row],[Salary]]*12</f>
        <v>779940</v>
      </c>
    </row>
    <row r="198" spans="1:11" x14ac:dyDescent="0.3">
      <c r="A198" s="1" t="s">
        <v>220</v>
      </c>
      <c r="B198">
        <v>10092</v>
      </c>
      <c r="C198" s="1" t="s">
        <v>16</v>
      </c>
      <c r="D198" s="1" t="s">
        <v>16</v>
      </c>
      <c r="E198" s="1" t="s">
        <v>12</v>
      </c>
      <c r="F198" s="1" t="s">
        <v>205</v>
      </c>
      <c r="G198">
        <v>5</v>
      </c>
      <c r="H198">
        <v>3</v>
      </c>
      <c r="I198" s="1" t="s">
        <v>14</v>
      </c>
      <c r="J198">
        <v>82758</v>
      </c>
      <c r="K198">
        <f>HRDataset_v14_selected_columns[[#This Row],[Salary]]*12</f>
        <v>993096</v>
      </c>
    </row>
    <row r="199" spans="1:11" x14ac:dyDescent="0.3">
      <c r="A199" s="1" t="s">
        <v>221</v>
      </c>
      <c r="B199">
        <v>10137</v>
      </c>
      <c r="C199" s="1" t="s">
        <v>16</v>
      </c>
      <c r="D199" s="1" t="s">
        <v>16</v>
      </c>
      <c r="E199" s="1" t="s">
        <v>12</v>
      </c>
      <c r="F199" s="1" t="s">
        <v>203</v>
      </c>
      <c r="G199">
        <v>5</v>
      </c>
      <c r="H199">
        <v>3</v>
      </c>
      <c r="I199" s="1" t="s">
        <v>14</v>
      </c>
      <c r="J199">
        <v>63450</v>
      </c>
      <c r="K199">
        <f>HRDataset_v14_selected_columns[[#This Row],[Salary]]*12</f>
        <v>761400</v>
      </c>
    </row>
    <row r="200" spans="1:11" x14ac:dyDescent="0.3">
      <c r="A200" s="1" t="s">
        <v>222</v>
      </c>
      <c r="B200">
        <v>10057</v>
      </c>
      <c r="C200" s="1" t="s">
        <v>16</v>
      </c>
      <c r="D200" s="1" t="s">
        <v>16</v>
      </c>
      <c r="E200" s="1" t="s">
        <v>17</v>
      </c>
      <c r="F200" s="1" t="s">
        <v>203</v>
      </c>
      <c r="G200">
        <v>5</v>
      </c>
      <c r="H200">
        <v>3</v>
      </c>
      <c r="I200" s="1" t="s">
        <v>14</v>
      </c>
      <c r="J200">
        <v>52057</v>
      </c>
      <c r="K200">
        <f>HRDataset_v14_selected_columns[[#This Row],[Salary]]*12</f>
        <v>624684</v>
      </c>
    </row>
    <row r="201" spans="1:11" x14ac:dyDescent="0.3">
      <c r="A201" s="1" t="s">
        <v>223</v>
      </c>
      <c r="B201">
        <v>10077</v>
      </c>
      <c r="C201" s="1" t="s">
        <v>16</v>
      </c>
      <c r="D201" s="1" t="s">
        <v>16</v>
      </c>
      <c r="E201" s="1" t="s">
        <v>17</v>
      </c>
      <c r="F201" s="1" t="s">
        <v>207</v>
      </c>
      <c r="G201">
        <v>5</v>
      </c>
      <c r="H201">
        <v>3</v>
      </c>
      <c r="I201" s="1" t="s">
        <v>14</v>
      </c>
      <c r="J201">
        <v>62385</v>
      </c>
      <c r="K201">
        <f>HRDataset_v14_selected_columns[[#This Row],[Salary]]*12</f>
        <v>748620</v>
      </c>
    </row>
    <row r="202" spans="1:11" x14ac:dyDescent="0.3">
      <c r="A202" s="1" t="s">
        <v>224</v>
      </c>
      <c r="B202">
        <v>10223</v>
      </c>
      <c r="C202" s="1" t="s">
        <v>11</v>
      </c>
      <c r="D202" s="1" t="s">
        <v>11</v>
      </c>
      <c r="E202" s="1" t="s">
        <v>12</v>
      </c>
      <c r="F202" s="1" t="s">
        <v>203</v>
      </c>
      <c r="G202">
        <v>5</v>
      </c>
      <c r="H202">
        <v>3</v>
      </c>
      <c r="I202" s="1" t="s">
        <v>63</v>
      </c>
      <c r="J202">
        <v>72106</v>
      </c>
      <c r="K202">
        <f>HRDataset_v14_selected_columns[[#This Row],[Salary]]*12</f>
        <v>865272</v>
      </c>
    </row>
    <row r="203" spans="1:11" x14ac:dyDescent="0.3">
      <c r="A203" s="1" t="s">
        <v>225</v>
      </c>
      <c r="B203">
        <v>10063</v>
      </c>
      <c r="C203" s="1" t="s">
        <v>16</v>
      </c>
      <c r="D203" s="1" t="s">
        <v>16</v>
      </c>
      <c r="E203" s="1" t="s">
        <v>12</v>
      </c>
      <c r="F203" s="1" t="s">
        <v>203</v>
      </c>
      <c r="G203">
        <v>5</v>
      </c>
      <c r="H203">
        <v>3</v>
      </c>
      <c r="I203" s="1" t="s">
        <v>14</v>
      </c>
      <c r="J203">
        <v>48495</v>
      </c>
      <c r="K203">
        <f>HRDataset_v14_selected_columns[[#This Row],[Salary]]*12</f>
        <v>581940</v>
      </c>
    </row>
    <row r="204" spans="1:11" x14ac:dyDescent="0.3">
      <c r="A204" s="1" t="s">
        <v>226</v>
      </c>
      <c r="B204">
        <v>10303</v>
      </c>
      <c r="C204" s="1" t="s">
        <v>11</v>
      </c>
      <c r="D204" s="1" t="s">
        <v>11</v>
      </c>
      <c r="E204" s="1" t="s">
        <v>17</v>
      </c>
      <c r="F204" s="1" t="s">
        <v>205</v>
      </c>
      <c r="G204">
        <v>5</v>
      </c>
      <c r="H204">
        <v>1</v>
      </c>
      <c r="I204" s="1" t="s">
        <v>14</v>
      </c>
      <c r="J204">
        <v>52674</v>
      </c>
      <c r="K204">
        <f>HRDataset_v14_selected_columns[[#This Row],[Salary]]*12</f>
        <v>632088</v>
      </c>
    </row>
    <row r="205" spans="1:11" x14ac:dyDescent="0.3">
      <c r="A205" s="1" t="s">
        <v>227</v>
      </c>
      <c r="B205">
        <v>10285</v>
      </c>
      <c r="C205" s="1" t="s">
        <v>16</v>
      </c>
      <c r="D205" s="1" t="s">
        <v>16</v>
      </c>
      <c r="E205" s="1" t="s">
        <v>17</v>
      </c>
      <c r="F205" s="1" t="s">
        <v>205</v>
      </c>
      <c r="G205">
        <v>5</v>
      </c>
      <c r="H205">
        <v>2</v>
      </c>
      <c r="I205" s="1" t="s">
        <v>14</v>
      </c>
      <c r="J205">
        <v>61422</v>
      </c>
      <c r="K205">
        <f>HRDataset_v14_selected_columns[[#This Row],[Salary]]*12</f>
        <v>737064</v>
      </c>
    </row>
    <row r="206" spans="1:11" x14ac:dyDescent="0.3">
      <c r="A206" s="1" t="s">
        <v>228</v>
      </c>
      <c r="B206">
        <v>10295</v>
      </c>
      <c r="C206" s="1" t="s">
        <v>11</v>
      </c>
      <c r="D206" s="1" t="s">
        <v>11</v>
      </c>
      <c r="E206" s="1" t="s">
        <v>17</v>
      </c>
      <c r="F206" s="1" t="s">
        <v>207</v>
      </c>
      <c r="G206">
        <v>5</v>
      </c>
      <c r="H206">
        <v>2</v>
      </c>
      <c r="I206" s="1" t="s">
        <v>63</v>
      </c>
      <c r="J206">
        <v>47750</v>
      </c>
      <c r="K206">
        <f>HRDataset_v14_selected_columns[[#This Row],[Salary]]*12</f>
        <v>573000</v>
      </c>
    </row>
    <row r="207" spans="1:11" x14ac:dyDescent="0.3">
      <c r="A207" s="1" t="s">
        <v>229</v>
      </c>
      <c r="B207">
        <v>10071</v>
      </c>
      <c r="C207" s="1" t="s">
        <v>11</v>
      </c>
      <c r="D207" s="1" t="s">
        <v>11</v>
      </c>
      <c r="E207" s="1" t="s">
        <v>17</v>
      </c>
      <c r="F207" s="1" t="s">
        <v>203</v>
      </c>
      <c r="G207">
        <v>5</v>
      </c>
      <c r="H207">
        <v>3</v>
      </c>
      <c r="I207" s="1" t="s">
        <v>14</v>
      </c>
      <c r="J207">
        <v>50923</v>
      </c>
      <c r="K207">
        <f>HRDataset_v14_selected_columns[[#This Row],[Salary]]*12</f>
        <v>611076</v>
      </c>
    </row>
    <row r="208" spans="1:11" x14ac:dyDescent="0.3">
      <c r="A208" s="1" t="s">
        <v>230</v>
      </c>
      <c r="B208">
        <v>10022</v>
      </c>
      <c r="C208" s="1" t="s">
        <v>16</v>
      </c>
      <c r="D208" s="1" t="s">
        <v>16</v>
      </c>
      <c r="E208" s="1" t="s">
        <v>17</v>
      </c>
      <c r="F208" s="1" t="s">
        <v>205</v>
      </c>
      <c r="G208">
        <v>5</v>
      </c>
      <c r="H208">
        <v>4</v>
      </c>
      <c r="I208" s="1" t="s">
        <v>14</v>
      </c>
      <c r="J208">
        <v>49773</v>
      </c>
      <c r="K208">
        <f>HRDataset_v14_selected_columns[[#This Row],[Salary]]*12</f>
        <v>597276</v>
      </c>
    </row>
    <row r="209" spans="1:11" x14ac:dyDescent="0.3">
      <c r="A209" s="1" t="s">
        <v>231</v>
      </c>
      <c r="B209">
        <v>10183</v>
      </c>
      <c r="C209" s="1" t="s">
        <v>11</v>
      </c>
      <c r="D209" s="1" t="s">
        <v>11</v>
      </c>
      <c r="E209" s="1" t="s">
        <v>17</v>
      </c>
      <c r="F209" s="1" t="s">
        <v>207</v>
      </c>
      <c r="G209">
        <v>5</v>
      </c>
      <c r="H209">
        <v>3</v>
      </c>
      <c r="I209" s="1" t="s">
        <v>14</v>
      </c>
      <c r="J209">
        <v>62068</v>
      </c>
      <c r="K209">
        <f>HRDataset_v14_selected_columns[[#This Row],[Salary]]*12</f>
        <v>744816</v>
      </c>
    </row>
    <row r="210" spans="1:11" x14ac:dyDescent="0.3">
      <c r="A210" s="1" t="s">
        <v>232</v>
      </c>
      <c r="B210">
        <v>10084</v>
      </c>
      <c r="C210" s="1" t="s">
        <v>16</v>
      </c>
      <c r="D210" s="1" t="s">
        <v>16</v>
      </c>
      <c r="E210" s="1" t="s">
        <v>12</v>
      </c>
      <c r="F210" s="1" t="s">
        <v>127</v>
      </c>
      <c r="G210">
        <v>3</v>
      </c>
      <c r="H210">
        <v>3</v>
      </c>
      <c r="I210" s="1" t="s">
        <v>14</v>
      </c>
      <c r="J210">
        <v>104437</v>
      </c>
      <c r="K210">
        <f>HRDataset_v14_selected_columns[[#This Row],[Salary]]*12</f>
        <v>1253244</v>
      </c>
    </row>
    <row r="211" spans="1:11" x14ac:dyDescent="0.3">
      <c r="A211" s="1" t="s">
        <v>233</v>
      </c>
      <c r="B211">
        <v>10245</v>
      </c>
      <c r="C211" s="1" t="s">
        <v>11</v>
      </c>
      <c r="D211" s="1" t="s">
        <v>11</v>
      </c>
      <c r="E211" s="1" t="s">
        <v>17</v>
      </c>
      <c r="F211" s="1" t="s">
        <v>205</v>
      </c>
      <c r="G211">
        <v>3</v>
      </c>
      <c r="H211">
        <v>3</v>
      </c>
      <c r="I211" s="1" t="s">
        <v>14</v>
      </c>
      <c r="J211">
        <v>110000</v>
      </c>
      <c r="K211">
        <f>HRDataset_v14_selected_columns[[#This Row],[Salary]]*12</f>
        <v>1320000</v>
      </c>
    </row>
    <row r="212" spans="1:11" x14ac:dyDescent="0.3">
      <c r="A212" s="1" t="s">
        <v>234</v>
      </c>
      <c r="B212">
        <v>10199</v>
      </c>
      <c r="C212" s="1" t="s">
        <v>11</v>
      </c>
      <c r="D212" s="1" t="s">
        <v>11</v>
      </c>
      <c r="E212" s="1" t="s">
        <v>12</v>
      </c>
      <c r="F212" s="1" t="s">
        <v>205</v>
      </c>
      <c r="G212">
        <v>3</v>
      </c>
      <c r="H212">
        <v>3</v>
      </c>
      <c r="I212" s="1" t="s">
        <v>14</v>
      </c>
      <c r="J212">
        <v>103613</v>
      </c>
      <c r="K212">
        <f>HRDataset_v14_selected_columns[[#This Row],[Salary]]*12</f>
        <v>1243356</v>
      </c>
    </row>
    <row r="213" spans="1:11" x14ac:dyDescent="0.3">
      <c r="A213" s="1" t="s">
        <v>235</v>
      </c>
      <c r="B213">
        <v>10188</v>
      </c>
      <c r="C213" s="1" t="s">
        <v>16</v>
      </c>
      <c r="D213" s="1" t="s">
        <v>16</v>
      </c>
      <c r="E213" s="1" t="s">
        <v>17</v>
      </c>
      <c r="F213" s="1" t="s">
        <v>127</v>
      </c>
      <c r="G213">
        <v>6</v>
      </c>
      <c r="H213">
        <v>3</v>
      </c>
      <c r="I213" s="1" t="s">
        <v>14</v>
      </c>
      <c r="J213">
        <v>74326</v>
      </c>
      <c r="K213">
        <f>HRDataset_v14_selected_columns[[#This Row],[Salary]]*12</f>
        <v>891912</v>
      </c>
    </row>
    <row r="214" spans="1:11" x14ac:dyDescent="0.3">
      <c r="A214" s="1" t="s">
        <v>236</v>
      </c>
      <c r="B214">
        <v>10082</v>
      </c>
      <c r="C214" s="1" t="s">
        <v>11</v>
      </c>
      <c r="D214" s="1" t="s">
        <v>11</v>
      </c>
      <c r="E214" s="1" t="s">
        <v>17</v>
      </c>
      <c r="F214" s="1" t="s">
        <v>207</v>
      </c>
      <c r="G214">
        <v>3</v>
      </c>
      <c r="H214">
        <v>3</v>
      </c>
      <c r="I214" s="1" t="s">
        <v>14</v>
      </c>
      <c r="J214">
        <v>100031</v>
      </c>
      <c r="K214">
        <f>HRDataset_v14_selected_columns[[#This Row],[Salary]]*12</f>
        <v>1200372</v>
      </c>
    </row>
    <row r="215" spans="1:11" x14ac:dyDescent="0.3">
      <c r="A215" s="1" t="s">
        <v>237</v>
      </c>
      <c r="B215">
        <v>10212</v>
      </c>
      <c r="C215" s="1" t="s">
        <v>16</v>
      </c>
      <c r="D215" s="1" t="s">
        <v>16</v>
      </c>
      <c r="E215" s="1" t="s">
        <v>17</v>
      </c>
      <c r="F215" s="1" t="s">
        <v>203</v>
      </c>
      <c r="G215">
        <v>3</v>
      </c>
      <c r="H215">
        <v>3</v>
      </c>
      <c r="I215" s="1" t="s">
        <v>14</v>
      </c>
      <c r="J215">
        <v>85028</v>
      </c>
      <c r="K215">
        <f>HRDataset_v14_selected_columns[[#This Row],[Salary]]*12</f>
        <v>1020336</v>
      </c>
    </row>
    <row r="216" spans="1:11" x14ac:dyDescent="0.3">
      <c r="A216" s="1" t="s">
        <v>238</v>
      </c>
      <c r="B216">
        <v>10290</v>
      </c>
      <c r="C216" s="1" t="s">
        <v>16</v>
      </c>
      <c r="D216" s="1" t="s">
        <v>16</v>
      </c>
      <c r="E216" s="1" t="s">
        <v>17</v>
      </c>
      <c r="F216" s="1" t="s">
        <v>205</v>
      </c>
      <c r="G216">
        <v>4</v>
      </c>
      <c r="H216">
        <v>2</v>
      </c>
      <c r="I216" s="1" t="s">
        <v>14</v>
      </c>
      <c r="J216">
        <v>99280</v>
      </c>
      <c r="K216">
        <f>HRDataset_v14_selected_columns[[#This Row],[Salary]]*12</f>
        <v>1191360</v>
      </c>
    </row>
    <row r="217" spans="1:11" x14ac:dyDescent="0.3">
      <c r="A217" s="1" t="s">
        <v>239</v>
      </c>
      <c r="B217">
        <v>10142</v>
      </c>
      <c r="C217" s="1" t="s">
        <v>11</v>
      </c>
      <c r="D217" s="1" t="s">
        <v>20</v>
      </c>
      <c r="E217" s="1" t="s">
        <v>17</v>
      </c>
      <c r="F217" s="1" t="s">
        <v>205</v>
      </c>
      <c r="G217">
        <v>6</v>
      </c>
      <c r="H217">
        <v>3</v>
      </c>
      <c r="I217" s="1" t="s">
        <v>14</v>
      </c>
      <c r="J217">
        <v>59370</v>
      </c>
      <c r="K217">
        <f>HRDataset_v14_selected_columns[[#This Row],[Salary]]*12</f>
        <v>712440</v>
      </c>
    </row>
    <row r="218" spans="1:11" x14ac:dyDescent="0.3">
      <c r="A218" s="1" t="s">
        <v>240</v>
      </c>
      <c r="B218">
        <v>10246</v>
      </c>
      <c r="C218" s="1" t="s">
        <v>11</v>
      </c>
      <c r="D218" s="1" t="s">
        <v>11</v>
      </c>
      <c r="E218" s="1" t="s">
        <v>17</v>
      </c>
      <c r="F218" s="1" t="s">
        <v>205</v>
      </c>
      <c r="G218">
        <v>3</v>
      </c>
      <c r="H218">
        <v>3</v>
      </c>
      <c r="I218" s="1" t="s">
        <v>14</v>
      </c>
      <c r="J218">
        <v>114800</v>
      </c>
      <c r="K218">
        <f>HRDataset_v14_selected_columns[[#This Row],[Salary]]*12</f>
        <v>1377600</v>
      </c>
    </row>
    <row r="219" spans="1:11" x14ac:dyDescent="0.3">
      <c r="A219" s="1" t="s">
        <v>241</v>
      </c>
      <c r="B219">
        <v>10109</v>
      </c>
      <c r="C219" s="1" t="s">
        <v>11</v>
      </c>
      <c r="D219" s="1" t="s">
        <v>11</v>
      </c>
      <c r="E219" s="1" t="s">
        <v>12</v>
      </c>
      <c r="F219" s="1" t="s">
        <v>127</v>
      </c>
      <c r="G219">
        <v>6</v>
      </c>
      <c r="H219">
        <v>3</v>
      </c>
      <c r="I219" s="1" t="s">
        <v>14</v>
      </c>
      <c r="J219">
        <v>71707</v>
      </c>
      <c r="K219">
        <f>HRDataset_v14_selected_columns[[#This Row],[Salary]]*12</f>
        <v>860484</v>
      </c>
    </row>
    <row r="220" spans="1:11" x14ac:dyDescent="0.3">
      <c r="A220" s="1" t="s">
        <v>242</v>
      </c>
      <c r="B220">
        <v>10156</v>
      </c>
      <c r="C220" s="1" t="s">
        <v>16</v>
      </c>
      <c r="D220" s="1" t="s">
        <v>16</v>
      </c>
      <c r="E220" s="1" t="s">
        <v>17</v>
      </c>
      <c r="F220" s="1" t="s">
        <v>203</v>
      </c>
      <c r="G220">
        <v>3</v>
      </c>
      <c r="H220">
        <v>3</v>
      </c>
      <c r="I220" s="1" t="s">
        <v>14</v>
      </c>
      <c r="J220">
        <v>105700</v>
      </c>
      <c r="K220">
        <f>HRDataset_v14_selected_columns[[#This Row],[Salary]]*12</f>
        <v>1268400</v>
      </c>
    </row>
    <row r="221" spans="1:11" x14ac:dyDescent="0.3">
      <c r="A221" s="1" t="s">
        <v>243</v>
      </c>
      <c r="B221">
        <v>10244</v>
      </c>
      <c r="C221" s="1" t="s">
        <v>11</v>
      </c>
      <c r="D221" s="1" t="s">
        <v>11</v>
      </c>
      <c r="E221" s="1" t="s">
        <v>17</v>
      </c>
      <c r="F221" s="1" t="s">
        <v>127</v>
      </c>
      <c r="G221">
        <v>6</v>
      </c>
      <c r="H221">
        <v>3</v>
      </c>
      <c r="I221" s="1" t="s">
        <v>14</v>
      </c>
      <c r="J221">
        <v>68999</v>
      </c>
      <c r="K221">
        <f>HRDataset_v14_selected_columns[[#This Row],[Salary]]*12</f>
        <v>827988</v>
      </c>
    </row>
    <row r="222" spans="1:11" x14ac:dyDescent="0.3">
      <c r="A222" s="1" t="s">
        <v>244</v>
      </c>
      <c r="B222">
        <v>10113</v>
      </c>
      <c r="C222" s="1" t="s">
        <v>16</v>
      </c>
      <c r="D222" s="1" t="s">
        <v>16</v>
      </c>
      <c r="E222" s="1" t="s">
        <v>12</v>
      </c>
      <c r="F222" s="1" t="s">
        <v>203</v>
      </c>
      <c r="G222">
        <v>3</v>
      </c>
      <c r="H222">
        <v>3</v>
      </c>
      <c r="I222" s="1" t="s">
        <v>14</v>
      </c>
      <c r="J222">
        <v>93206</v>
      </c>
      <c r="K222">
        <f>HRDataset_v14_selected_columns[[#This Row],[Salary]]*12</f>
        <v>1118472</v>
      </c>
    </row>
    <row r="223" spans="1:11" x14ac:dyDescent="0.3">
      <c r="A223" s="1" t="s">
        <v>245</v>
      </c>
      <c r="B223">
        <v>10202</v>
      </c>
      <c r="C223" s="1" t="s">
        <v>16</v>
      </c>
      <c r="D223" s="1" t="s">
        <v>16</v>
      </c>
      <c r="E223" s="1" t="s">
        <v>12</v>
      </c>
      <c r="F223" s="1" t="s">
        <v>207</v>
      </c>
      <c r="G223">
        <v>6</v>
      </c>
      <c r="H223">
        <v>3</v>
      </c>
      <c r="I223" s="1" t="s">
        <v>14</v>
      </c>
      <c r="J223">
        <v>63291</v>
      </c>
      <c r="K223">
        <f>HRDataset_v14_selected_columns[[#This Row],[Salary]]*12</f>
        <v>759492</v>
      </c>
    </row>
    <row r="224" spans="1:11" x14ac:dyDescent="0.3">
      <c r="A224" s="1" t="s">
        <v>246</v>
      </c>
      <c r="B224">
        <v>10005</v>
      </c>
      <c r="C224" s="1" t="s">
        <v>11</v>
      </c>
      <c r="D224" s="1" t="s">
        <v>11</v>
      </c>
      <c r="E224" s="1" t="s">
        <v>12</v>
      </c>
      <c r="F224" s="1" t="s">
        <v>127</v>
      </c>
      <c r="G224">
        <v>4</v>
      </c>
      <c r="H224">
        <v>4</v>
      </c>
      <c r="I224" s="1" t="s">
        <v>63</v>
      </c>
      <c r="J224">
        <v>108987</v>
      </c>
      <c r="K224">
        <f>HRDataset_v14_selected_columns[[#This Row],[Salary]]*12</f>
        <v>1307844</v>
      </c>
    </row>
    <row r="225" spans="1:11" x14ac:dyDescent="0.3">
      <c r="A225" s="1" t="s">
        <v>247</v>
      </c>
      <c r="B225">
        <v>10259</v>
      </c>
      <c r="C225" s="1" t="s">
        <v>16</v>
      </c>
      <c r="D225" s="1" t="s">
        <v>16</v>
      </c>
      <c r="E225" s="1" t="s">
        <v>12</v>
      </c>
      <c r="F225" s="1" t="s">
        <v>127</v>
      </c>
      <c r="G225">
        <v>3</v>
      </c>
      <c r="H225">
        <v>3</v>
      </c>
      <c r="I225" s="1" t="s">
        <v>14</v>
      </c>
      <c r="J225">
        <v>93093</v>
      </c>
      <c r="K225">
        <f>HRDataset_v14_selected_columns[[#This Row],[Salary]]*12</f>
        <v>1117116</v>
      </c>
    </row>
    <row r="226" spans="1:11" x14ac:dyDescent="0.3">
      <c r="A226" s="1" t="s">
        <v>248</v>
      </c>
      <c r="B226">
        <v>10131</v>
      </c>
      <c r="C226" s="1" t="s">
        <v>16</v>
      </c>
      <c r="D226" s="1" t="s">
        <v>16</v>
      </c>
      <c r="E226" s="1" t="s">
        <v>12</v>
      </c>
      <c r="F226" s="1" t="s">
        <v>127</v>
      </c>
      <c r="G226">
        <v>1</v>
      </c>
      <c r="H226">
        <v>3</v>
      </c>
      <c r="I226" s="1" t="s">
        <v>63</v>
      </c>
      <c r="J226">
        <v>83363</v>
      </c>
      <c r="K226">
        <f>HRDataset_v14_selected_columns[[#This Row],[Salary]]*12</f>
        <v>1000356</v>
      </c>
    </row>
    <row r="227" spans="1:11" x14ac:dyDescent="0.3">
      <c r="A227" s="1" t="s">
        <v>249</v>
      </c>
      <c r="B227">
        <v>10149</v>
      </c>
      <c r="C227" s="1" t="s">
        <v>11</v>
      </c>
      <c r="D227" s="1" t="s">
        <v>11</v>
      </c>
      <c r="E227" s="1" t="s">
        <v>17</v>
      </c>
      <c r="F227" s="1" t="s">
        <v>127</v>
      </c>
      <c r="G227">
        <v>3</v>
      </c>
      <c r="H227">
        <v>3</v>
      </c>
      <c r="I227" s="1" t="s">
        <v>14</v>
      </c>
      <c r="J227">
        <v>120000</v>
      </c>
      <c r="K227">
        <f>HRDataset_v14_selected_columns[[#This Row],[Salary]]*12</f>
        <v>1440000</v>
      </c>
    </row>
    <row r="228" spans="1:11" x14ac:dyDescent="0.3">
      <c r="A228" s="1" t="s">
        <v>250</v>
      </c>
      <c r="B228">
        <v>10222</v>
      </c>
      <c r="C228" s="1" t="s">
        <v>11</v>
      </c>
      <c r="D228" s="1" t="s">
        <v>25</v>
      </c>
      <c r="E228" s="1" t="s">
        <v>12</v>
      </c>
      <c r="F228" s="1" t="s">
        <v>127</v>
      </c>
      <c r="G228">
        <v>3</v>
      </c>
      <c r="H228">
        <v>3</v>
      </c>
      <c r="I228" s="1" t="s">
        <v>63</v>
      </c>
      <c r="J228">
        <v>148999</v>
      </c>
      <c r="K228">
        <f>HRDataset_v14_selected_columns[[#This Row],[Salary]]*12</f>
        <v>1787988</v>
      </c>
    </row>
    <row r="229" spans="1:11" x14ac:dyDescent="0.3">
      <c r="A229" s="1" t="s">
        <v>251</v>
      </c>
      <c r="B229">
        <v>10229</v>
      </c>
      <c r="C229" s="1" t="s">
        <v>11</v>
      </c>
      <c r="D229" s="1" t="s">
        <v>25</v>
      </c>
      <c r="E229" s="1" t="s">
        <v>12</v>
      </c>
      <c r="F229" s="1" t="s">
        <v>127</v>
      </c>
      <c r="G229">
        <v>3</v>
      </c>
      <c r="H229">
        <v>3</v>
      </c>
      <c r="I229" s="1" t="s">
        <v>14</v>
      </c>
      <c r="J229">
        <v>88527</v>
      </c>
      <c r="K229">
        <f>HRDataset_v14_selected_columns[[#This Row],[Salary]]*12</f>
        <v>1062324</v>
      </c>
    </row>
    <row r="230" spans="1:11" x14ac:dyDescent="0.3">
      <c r="A230" s="1" t="s">
        <v>252</v>
      </c>
      <c r="B230">
        <v>10153</v>
      </c>
      <c r="C230" s="1" t="s">
        <v>16</v>
      </c>
      <c r="D230" s="1" t="s">
        <v>16</v>
      </c>
      <c r="E230" s="1" t="s">
        <v>17</v>
      </c>
      <c r="F230" s="1" t="s">
        <v>127</v>
      </c>
      <c r="G230">
        <v>1</v>
      </c>
      <c r="H230">
        <v>3</v>
      </c>
      <c r="I230" s="1" t="s">
        <v>63</v>
      </c>
      <c r="J230">
        <v>55000</v>
      </c>
      <c r="K230">
        <f>HRDataset_v14_selected_columns[[#This Row],[Salary]]*12</f>
        <v>660000</v>
      </c>
    </row>
    <row r="231" spans="1:11" x14ac:dyDescent="0.3">
      <c r="A231" s="1" t="s">
        <v>253</v>
      </c>
      <c r="B231">
        <v>10180</v>
      </c>
      <c r="C231" s="1" t="s">
        <v>16</v>
      </c>
      <c r="D231" s="1" t="s">
        <v>16</v>
      </c>
      <c r="E231" s="1" t="s">
        <v>12</v>
      </c>
      <c r="F231" s="1" t="s">
        <v>207</v>
      </c>
      <c r="G231">
        <v>3</v>
      </c>
      <c r="H231">
        <v>3</v>
      </c>
      <c r="I231" s="1" t="s">
        <v>14</v>
      </c>
      <c r="J231">
        <v>87565</v>
      </c>
      <c r="K231">
        <f>HRDataset_v14_selected_columns[[#This Row],[Salary]]*12</f>
        <v>1050780</v>
      </c>
    </row>
    <row r="232" spans="1:11" x14ac:dyDescent="0.3">
      <c r="A232" s="1" t="s">
        <v>254</v>
      </c>
      <c r="B232">
        <v>10044</v>
      </c>
      <c r="C232" s="1" t="s">
        <v>16</v>
      </c>
      <c r="D232" s="1" t="s">
        <v>16</v>
      </c>
      <c r="E232" s="1" t="s">
        <v>12</v>
      </c>
      <c r="F232" s="1" t="s">
        <v>127</v>
      </c>
      <c r="G232">
        <v>3</v>
      </c>
      <c r="H232">
        <v>3</v>
      </c>
      <c r="I232" s="1" t="s">
        <v>14</v>
      </c>
      <c r="J232">
        <v>75281</v>
      </c>
      <c r="K232">
        <f>HRDataset_v14_selected_columns[[#This Row],[Salary]]*12</f>
        <v>903372</v>
      </c>
    </row>
    <row r="233" spans="1:11" x14ac:dyDescent="0.3">
      <c r="A233" s="1" t="s">
        <v>255</v>
      </c>
      <c r="B233">
        <v>10102</v>
      </c>
      <c r="C233" s="1" t="s">
        <v>11</v>
      </c>
      <c r="D233" s="1" t="s">
        <v>11</v>
      </c>
      <c r="E233" s="1" t="s">
        <v>12</v>
      </c>
      <c r="F233" s="1" t="s">
        <v>127</v>
      </c>
      <c r="G233">
        <v>4</v>
      </c>
      <c r="H233">
        <v>3</v>
      </c>
      <c r="I233" s="1" t="s">
        <v>63</v>
      </c>
      <c r="J233">
        <v>100416</v>
      </c>
      <c r="K233">
        <f>HRDataset_v14_selected_columns[[#This Row],[Salary]]*12</f>
        <v>1204992</v>
      </c>
    </row>
    <row r="234" spans="1:11" x14ac:dyDescent="0.3">
      <c r="A234" s="1" t="s">
        <v>256</v>
      </c>
      <c r="B234">
        <v>10118</v>
      </c>
      <c r="C234" s="1" t="s">
        <v>16</v>
      </c>
      <c r="D234" s="1" t="s">
        <v>16</v>
      </c>
      <c r="E234" s="1" t="s">
        <v>12</v>
      </c>
      <c r="F234" s="1" t="s">
        <v>205</v>
      </c>
      <c r="G234">
        <v>3</v>
      </c>
      <c r="H234">
        <v>3</v>
      </c>
      <c r="I234" s="1" t="s">
        <v>14</v>
      </c>
      <c r="J234">
        <v>113999</v>
      </c>
      <c r="K234">
        <f>HRDataset_v14_selected_columns[[#This Row],[Salary]]*12</f>
        <v>1367988</v>
      </c>
    </row>
    <row r="235" spans="1:11" x14ac:dyDescent="0.3">
      <c r="A235" s="1" t="s">
        <v>257</v>
      </c>
      <c r="B235">
        <v>10194</v>
      </c>
      <c r="C235" s="1" t="s">
        <v>11</v>
      </c>
      <c r="D235" s="1" t="s">
        <v>11</v>
      </c>
      <c r="E235" s="1" t="s">
        <v>17</v>
      </c>
      <c r="F235" s="1" t="s">
        <v>13</v>
      </c>
      <c r="G235">
        <v>4</v>
      </c>
      <c r="H235">
        <v>3</v>
      </c>
      <c r="I235" s="1" t="s">
        <v>14</v>
      </c>
      <c r="J235">
        <v>95660</v>
      </c>
      <c r="K235">
        <f>HRDataset_v14_selected_columns[[#This Row],[Salary]]*12</f>
        <v>1147920</v>
      </c>
    </row>
    <row r="236" spans="1:11" x14ac:dyDescent="0.3">
      <c r="A236" s="1" t="s">
        <v>258</v>
      </c>
      <c r="B236">
        <v>10250</v>
      </c>
      <c r="C236" s="1" t="s">
        <v>11</v>
      </c>
      <c r="D236" s="1" t="s">
        <v>25</v>
      </c>
      <c r="E236" s="1" t="s">
        <v>12</v>
      </c>
      <c r="F236" s="1" t="s">
        <v>13</v>
      </c>
      <c r="G236">
        <v>3</v>
      </c>
      <c r="H236">
        <v>3</v>
      </c>
      <c r="I236" s="1" t="s">
        <v>14</v>
      </c>
      <c r="J236">
        <v>50178</v>
      </c>
      <c r="K236">
        <f>HRDataset_v14_selected_columns[[#This Row],[Salary]]*12</f>
        <v>602136</v>
      </c>
    </row>
    <row r="237" spans="1:11" x14ac:dyDescent="0.3">
      <c r="A237" s="1" t="s">
        <v>259</v>
      </c>
      <c r="B237">
        <v>10012</v>
      </c>
      <c r="C237" s="1" t="s">
        <v>11</v>
      </c>
      <c r="D237" s="1" t="s">
        <v>25</v>
      </c>
      <c r="E237" s="1" t="s">
        <v>12</v>
      </c>
      <c r="F237" s="1" t="s">
        <v>13</v>
      </c>
      <c r="G237">
        <v>3</v>
      </c>
      <c r="H237">
        <v>4</v>
      </c>
      <c r="I237" s="1" t="s">
        <v>63</v>
      </c>
      <c r="J237">
        <v>92328</v>
      </c>
      <c r="K237">
        <f>HRDataset_v14_selected_columns[[#This Row],[Salary]]*12</f>
        <v>1107936</v>
      </c>
    </row>
    <row r="238" spans="1:11" x14ac:dyDescent="0.3">
      <c r="A238" s="1" t="s">
        <v>260</v>
      </c>
      <c r="B238">
        <v>10081</v>
      </c>
      <c r="C238" s="1" t="s">
        <v>16</v>
      </c>
      <c r="D238" s="1" t="s">
        <v>16</v>
      </c>
      <c r="E238" s="1" t="s">
        <v>17</v>
      </c>
      <c r="F238" s="1" t="s">
        <v>13</v>
      </c>
      <c r="G238">
        <v>1</v>
      </c>
      <c r="H238">
        <v>3</v>
      </c>
      <c r="I238" s="1" t="s">
        <v>63</v>
      </c>
      <c r="J238">
        <v>106367</v>
      </c>
      <c r="K238">
        <f>HRDataset_v14_selected_columns[[#This Row],[Salary]]*12</f>
        <v>1276404</v>
      </c>
    </row>
    <row r="239" spans="1:11" x14ac:dyDescent="0.3">
      <c r="A239" s="1" t="s">
        <v>261</v>
      </c>
      <c r="B239">
        <v>10238</v>
      </c>
      <c r="C239" s="1" t="s">
        <v>16</v>
      </c>
      <c r="D239" s="1" t="s">
        <v>16</v>
      </c>
      <c r="E239" s="1" t="s">
        <v>17</v>
      </c>
      <c r="F239" s="1" t="s">
        <v>13</v>
      </c>
      <c r="G239">
        <v>1</v>
      </c>
      <c r="H239">
        <v>3</v>
      </c>
      <c r="I239" s="1" t="s">
        <v>63</v>
      </c>
      <c r="J239">
        <v>63000</v>
      </c>
      <c r="K239">
        <f>HRDataset_v14_selected_columns[[#This Row],[Salary]]*12</f>
        <v>756000</v>
      </c>
    </row>
    <row r="240" spans="1:11" x14ac:dyDescent="0.3">
      <c r="A240" s="1" t="s">
        <v>262</v>
      </c>
      <c r="B240">
        <v>10150</v>
      </c>
      <c r="C240" s="1" t="s">
        <v>11</v>
      </c>
      <c r="D240" s="1" t="s">
        <v>11</v>
      </c>
      <c r="E240" s="1" t="s">
        <v>12</v>
      </c>
      <c r="F240" s="1" t="s">
        <v>13</v>
      </c>
      <c r="G240">
        <v>4</v>
      </c>
      <c r="H240">
        <v>3</v>
      </c>
      <c r="I240" s="1" t="s">
        <v>14</v>
      </c>
      <c r="J240">
        <v>77692</v>
      </c>
      <c r="K240">
        <f>HRDataset_v14_selected_columns[[#This Row],[Salary]]*12</f>
        <v>932304</v>
      </c>
    </row>
    <row r="241" spans="1:11" x14ac:dyDescent="0.3">
      <c r="A241" s="1" t="s">
        <v>263</v>
      </c>
      <c r="B241">
        <v>10085</v>
      </c>
      <c r="C241" s="1" t="s">
        <v>11</v>
      </c>
      <c r="D241" s="1" t="s">
        <v>11</v>
      </c>
      <c r="E241" s="1" t="s">
        <v>17</v>
      </c>
      <c r="F241" s="1" t="s">
        <v>13</v>
      </c>
      <c r="G241">
        <v>4</v>
      </c>
      <c r="H241">
        <v>3</v>
      </c>
      <c r="I241" s="1" t="s">
        <v>14</v>
      </c>
      <c r="J241">
        <v>93396</v>
      </c>
      <c r="K241">
        <f>HRDataset_v14_selected_columns[[#This Row],[Salary]]*12</f>
        <v>1120752</v>
      </c>
    </row>
    <row r="242" spans="1:11" x14ac:dyDescent="0.3">
      <c r="A242" s="1" t="s">
        <v>264</v>
      </c>
      <c r="B242">
        <v>10040</v>
      </c>
      <c r="C242" s="1" t="s">
        <v>11</v>
      </c>
      <c r="D242" s="1" t="s">
        <v>11</v>
      </c>
      <c r="E242" s="1" t="s">
        <v>17</v>
      </c>
      <c r="F242" s="1" t="s">
        <v>13</v>
      </c>
      <c r="G242">
        <v>6</v>
      </c>
      <c r="H242">
        <v>3</v>
      </c>
      <c r="I242" s="1" t="s">
        <v>14</v>
      </c>
      <c r="J242">
        <v>71860</v>
      </c>
      <c r="K242">
        <f>HRDataset_v14_selected_columns[[#This Row],[Salary]]*12</f>
        <v>862320</v>
      </c>
    </row>
    <row r="243" spans="1:11" x14ac:dyDescent="0.3">
      <c r="A243" s="1" t="s">
        <v>265</v>
      </c>
      <c r="B243">
        <v>10108</v>
      </c>
      <c r="C243" s="1" t="s">
        <v>16</v>
      </c>
      <c r="D243" s="1" t="s">
        <v>16</v>
      </c>
      <c r="E243" s="1" t="s">
        <v>12</v>
      </c>
      <c r="F243" s="1" t="s">
        <v>13</v>
      </c>
      <c r="G243">
        <v>3</v>
      </c>
      <c r="H243">
        <v>3</v>
      </c>
      <c r="I243" s="1" t="s">
        <v>14</v>
      </c>
      <c r="J243">
        <v>110929</v>
      </c>
      <c r="K243">
        <f>HRDataset_v14_selected_columns[[#This Row],[Salary]]*12</f>
        <v>1331148</v>
      </c>
    </row>
    <row r="244" spans="1:11" x14ac:dyDescent="0.3">
      <c r="A244" s="1" t="s">
        <v>266</v>
      </c>
      <c r="B244">
        <v>10200</v>
      </c>
      <c r="C244" s="1" t="s">
        <v>11</v>
      </c>
      <c r="D244" s="1" t="s">
        <v>11</v>
      </c>
      <c r="E244" s="1" t="s">
        <v>12</v>
      </c>
      <c r="F244" s="1" t="s">
        <v>13</v>
      </c>
      <c r="G244">
        <v>6</v>
      </c>
      <c r="H244">
        <v>3</v>
      </c>
      <c r="I244" s="1" t="s">
        <v>14</v>
      </c>
      <c r="J244">
        <v>66808</v>
      </c>
      <c r="K244">
        <f>HRDataset_v14_selected_columns[[#This Row],[Salary]]*12</f>
        <v>801696</v>
      </c>
    </row>
    <row r="245" spans="1:11" x14ac:dyDescent="0.3">
      <c r="A245" s="1" t="s">
        <v>267</v>
      </c>
      <c r="B245">
        <v>10220</v>
      </c>
      <c r="C245" s="1" t="s">
        <v>11</v>
      </c>
      <c r="D245" s="1" t="s">
        <v>11</v>
      </c>
      <c r="E245" s="1" t="s">
        <v>12</v>
      </c>
      <c r="F245" s="1" t="s">
        <v>13</v>
      </c>
      <c r="G245">
        <v>3</v>
      </c>
      <c r="H245">
        <v>3</v>
      </c>
      <c r="I245" s="1" t="s">
        <v>14</v>
      </c>
      <c r="J245">
        <v>68678</v>
      </c>
      <c r="K245">
        <f>HRDataset_v14_selected_columns[[#This Row],[Salary]]*12</f>
        <v>824136</v>
      </c>
    </row>
    <row r="246" spans="1:11" x14ac:dyDescent="0.3">
      <c r="A246" s="1" t="s">
        <v>268</v>
      </c>
      <c r="B246">
        <v>10193</v>
      </c>
      <c r="C246" s="1" t="s">
        <v>16</v>
      </c>
      <c r="D246" s="1" t="s">
        <v>16</v>
      </c>
      <c r="E246" s="1" t="s">
        <v>12</v>
      </c>
      <c r="F246" s="1" t="s">
        <v>13</v>
      </c>
      <c r="G246">
        <v>3</v>
      </c>
      <c r="H246">
        <v>3</v>
      </c>
      <c r="I246" s="1" t="s">
        <v>14</v>
      </c>
      <c r="J246">
        <v>83552</v>
      </c>
      <c r="K246">
        <f>HRDataset_v14_selected_columns[[#This Row],[Salary]]*12</f>
        <v>1002624</v>
      </c>
    </row>
    <row r="247" spans="1:11" x14ac:dyDescent="0.3">
      <c r="A247" s="1" t="s">
        <v>269</v>
      </c>
      <c r="B247">
        <v>10083</v>
      </c>
      <c r="C247" s="1" t="s">
        <v>11</v>
      </c>
      <c r="D247" s="1" t="s">
        <v>11</v>
      </c>
      <c r="E247" s="1" t="s">
        <v>12</v>
      </c>
      <c r="F247" s="1" t="s">
        <v>13</v>
      </c>
      <c r="G247">
        <v>3</v>
      </c>
      <c r="H247">
        <v>3</v>
      </c>
      <c r="I247" s="1" t="s">
        <v>14</v>
      </c>
      <c r="J247">
        <v>92329</v>
      </c>
      <c r="K247">
        <f>HRDataset_v14_selected_columns[[#This Row],[Salary]]*12</f>
        <v>1107948</v>
      </c>
    </row>
    <row r="248" spans="1:11" x14ac:dyDescent="0.3">
      <c r="A248" s="1" t="s">
        <v>270</v>
      </c>
      <c r="B248">
        <v>10099</v>
      </c>
      <c r="C248" s="1" t="s">
        <v>11</v>
      </c>
      <c r="D248" s="1" t="s">
        <v>11</v>
      </c>
      <c r="E248" s="1" t="s">
        <v>17</v>
      </c>
      <c r="F248" s="1" t="s">
        <v>13</v>
      </c>
      <c r="G248">
        <v>6</v>
      </c>
      <c r="H248">
        <v>3</v>
      </c>
      <c r="I248" s="1" t="s">
        <v>14</v>
      </c>
      <c r="J248">
        <v>65729</v>
      </c>
      <c r="K248">
        <f>HRDataset_v14_selected_columns[[#This Row],[Salary]]*12</f>
        <v>788748</v>
      </c>
    </row>
    <row r="249" spans="1:11" x14ac:dyDescent="0.3">
      <c r="A249" s="1" t="s">
        <v>271</v>
      </c>
      <c r="B249">
        <v>10311</v>
      </c>
      <c r="C249" s="1" t="s">
        <v>16</v>
      </c>
      <c r="D249" s="1" t="s">
        <v>16</v>
      </c>
      <c r="E249" s="1" t="s">
        <v>12</v>
      </c>
      <c r="F249" s="1" t="s">
        <v>13</v>
      </c>
      <c r="G249">
        <v>6</v>
      </c>
      <c r="H249">
        <v>1</v>
      </c>
      <c r="I249" s="1" t="s">
        <v>14</v>
      </c>
      <c r="J249">
        <v>56991</v>
      </c>
      <c r="K249">
        <f>HRDataset_v14_selected_columns[[#This Row],[Salary]]*12</f>
        <v>683892</v>
      </c>
    </row>
    <row r="250" spans="1:11" x14ac:dyDescent="0.3">
      <c r="A250" s="1" t="s">
        <v>272</v>
      </c>
      <c r="B250">
        <v>10155</v>
      </c>
      <c r="C250" s="1" t="s">
        <v>11</v>
      </c>
      <c r="D250" s="1" t="s">
        <v>11</v>
      </c>
      <c r="E250" s="1" t="s">
        <v>17</v>
      </c>
      <c r="F250" s="1" t="s">
        <v>13</v>
      </c>
      <c r="G250">
        <v>4</v>
      </c>
      <c r="H250">
        <v>3</v>
      </c>
      <c r="I250" s="1" t="s">
        <v>14</v>
      </c>
      <c r="J250">
        <v>101199</v>
      </c>
      <c r="K250">
        <f>HRDataset_v14_selected_columns[[#This Row],[Salary]]*12</f>
        <v>1214388</v>
      </c>
    </row>
    <row r="251" spans="1:11" x14ac:dyDescent="0.3">
      <c r="A251" s="1" t="s">
        <v>273</v>
      </c>
      <c r="B251">
        <v>10306</v>
      </c>
      <c r="C251" s="1" t="s">
        <v>11</v>
      </c>
      <c r="D251" s="1" t="s">
        <v>11</v>
      </c>
      <c r="E251" s="1" t="s">
        <v>12</v>
      </c>
      <c r="F251" s="1" t="s">
        <v>13</v>
      </c>
      <c r="G251">
        <v>6</v>
      </c>
      <c r="H251">
        <v>1</v>
      </c>
      <c r="I251" s="1" t="s">
        <v>14</v>
      </c>
      <c r="J251">
        <v>61568</v>
      </c>
      <c r="K251">
        <f>HRDataset_v14_selected_columns[[#This Row],[Salary]]*12</f>
        <v>738816</v>
      </c>
    </row>
    <row r="252" spans="1:11" x14ac:dyDescent="0.3">
      <c r="A252" s="1" t="s">
        <v>274</v>
      </c>
      <c r="B252">
        <v>10197</v>
      </c>
      <c r="C252" s="1" t="s">
        <v>11</v>
      </c>
      <c r="D252" s="1" t="s">
        <v>11</v>
      </c>
      <c r="E252" s="1" t="s">
        <v>12</v>
      </c>
      <c r="F252" s="1" t="s">
        <v>13</v>
      </c>
      <c r="G252">
        <v>3</v>
      </c>
      <c r="H252">
        <v>3</v>
      </c>
      <c r="I252" s="1" t="s">
        <v>14</v>
      </c>
      <c r="J252">
        <v>96820</v>
      </c>
      <c r="K252">
        <f>HRDataset_v14_selected_columns[[#This Row],[Salary]]*12</f>
        <v>1161840</v>
      </c>
    </row>
    <row r="253" spans="1:11" x14ac:dyDescent="0.3">
      <c r="A253" s="1" t="s">
        <v>275</v>
      </c>
      <c r="B253">
        <v>10304</v>
      </c>
      <c r="C253" s="1" t="s">
        <v>11</v>
      </c>
      <c r="D253" s="1" t="s">
        <v>11</v>
      </c>
      <c r="E253" s="1" t="s">
        <v>17</v>
      </c>
      <c r="F253" s="1" t="s">
        <v>13</v>
      </c>
      <c r="G253">
        <v>6</v>
      </c>
      <c r="H253">
        <v>1</v>
      </c>
      <c r="I253" s="1" t="s">
        <v>14</v>
      </c>
      <c r="J253">
        <v>59231</v>
      </c>
      <c r="K253">
        <f>HRDataset_v14_selected_columns[[#This Row],[Salary]]*12</f>
        <v>710772</v>
      </c>
    </row>
    <row r="254" spans="1:11" x14ac:dyDescent="0.3">
      <c r="A254" s="1" t="s">
        <v>276</v>
      </c>
      <c r="B254">
        <v>10133</v>
      </c>
      <c r="C254" s="1" t="s">
        <v>16</v>
      </c>
      <c r="D254" s="1" t="s">
        <v>16</v>
      </c>
      <c r="E254" s="1" t="s">
        <v>17</v>
      </c>
      <c r="F254" s="1" t="s">
        <v>13</v>
      </c>
      <c r="G254">
        <v>3</v>
      </c>
      <c r="H254">
        <v>3</v>
      </c>
      <c r="I254" s="1" t="s">
        <v>14</v>
      </c>
      <c r="J254">
        <v>70621</v>
      </c>
      <c r="K254">
        <f>HRDataset_v14_selected_columns[[#This Row],[Salary]]*12</f>
        <v>847452</v>
      </c>
    </row>
    <row r="255" spans="1:11" x14ac:dyDescent="0.3">
      <c r="A255" s="1" t="s">
        <v>277</v>
      </c>
      <c r="B255">
        <v>10028</v>
      </c>
      <c r="C255" s="1" t="s">
        <v>11</v>
      </c>
      <c r="D255" s="1" t="s">
        <v>11</v>
      </c>
      <c r="E255" s="1" t="s">
        <v>12</v>
      </c>
      <c r="F255" s="1" t="s">
        <v>13</v>
      </c>
      <c r="G255">
        <v>3</v>
      </c>
      <c r="H255">
        <v>4</v>
      </c>
      <c r="I255" s="1" t="s">
        <v>14</v>
      </c>
      <c r="J255">
        <v>138888</v>
      </c>
      <c r="K255">
        <f>HRDataset_v14_selected_columns[[#This Row],[Salary]]*12</f>
        <v>1666656</v>
      </c>
    </row>
    <row r="256" spans="1:11" x14ac:dyDescent="0.3">
      <c r="A256" s="1" t="s">
        <v>278</v>
      </c>
      <c r="B256">
        <v>10006</v>
      </c>
      <c r="C256" s="1" t="s">
        <v>11</v>
      </c>
      <c r="D256" s="1" t="s">
        <v>11</v>
      </c>
      <c r="E256" s="1" t="s">
        <v>17</v>
      </c>
      <c r="F256" s="1" t="s">
        <v>13</v>
      </c>
      <c r="G256">
        <v>6</v>
      </c>
      <c r="H256">
        <v>4</v>
      </c>
      <c r="I256" s="1" t="s">
        <v>14</v>
      </c>
      <c r="J256">
        <v>74241</v>
      </c>
      <c r="K256">
        <f>HRDataset_v14_selected_columns[[#This Row],[Salary]]*12</f>
        <v>890892</v>
      </c>
    </row>
    <row r="257" spans="1:11" x14ac:dyDescent="0.3">
      <c r="A257" s="1" t="s">
        <v>279</v>
      </c>
      <c r="B257">
        <v>10309</v>
      </c>
      <c r="C257" s="1" t="s">
        <v>11</v>
      </c>
      <c r="D257" s="1" t="s">
        <v>11</v>
      </c>
      <c r="E257" s="1" t="s">
        <v>12</v>
      </c>
      <c r="F257" s="1" t="s">
        <v>13</v>
      </c>
      <c r="G257">
        <v>3</v>
      </c>
      <c r="H257">
        <v>1</v>
      </c>
      <c r="I257" s="1" t="s">
        <v>14</v>
      </c>
      <c r="J257">
        <v>53366</v>
      </c>
      <c r="K257">
        <f>HRDataset_v14_selected_columns[[#This Row],[Salary]]*12</f>
        <v>640392</v>
      </c>
    </row>
    <row r="258" spans="1:11" x14ac:dyDescent="0.3">
      <c r="A258" s="1" t="s">
        <v>280</v>
      </c>
      <c r="B258">
        <v>10305</v>
      </c>
      <c r="C258" s="1" t="s">
        <v>16</v>
      </c>
      <c r="D258" s="1" t="s">
        <v>16</v>
      </c>
      <c r="E258" s="1" t="s">
        <v>12</v>
      </c>
      <c r="F258" s="1" t="s">
        <v>13</v>
      </c>
      <c r="G258">
        <v>6</v>
      </c>
      <c r="H258">
        <v>3</v>
      </c>
      <c r="I258" s="1" t="s">
        <v>14</v>
      </c>
      <c r="J258">
        <v>70187</v>
      </c>
      <c r="K258">
        <f>HRDataset_v14_selected_columns[[#This Row],[Salary]]*12</f>
        <v>842244</v>
      </c>
    </row>
    <row r="259" spans="1:11" x14ac:dyDescent="0.3">
      <c r="A259" s="1" t="s">
        <v>281</v>
      </c>
      <c r="B259">
        <v>10015</v>
      </c>
      <c r="C259" s="1" t="s">
        <v>11</v>
      </c>
      <c r="D259" s="1" t="s">
        <v>11</v>
      </c>
      <c r="E259" s="1" t="s">
        <v>12</v>
      </c>
      <c r="F259" s="1" t="s">
        <v>13</v>
      </c>
      <c r="G259">
        <v>3</v>
      </c>
      <c r="H259">
        <v>4</v>
      </c>
      <c r="I259" s="1" t="s">
        <v>14</v>
      </c>
      <c r="J259">
        <v>178000</v>
      </c>
      <c r="K259">
        <f>HRDataset_v14_selected_columns[[#This Row],[Salary]]*12</f>
        <v>2136000</v>
      </c>
    </row>
    <row r="260" spans="1:11" x14ac:dyDescent="0.3">
      <c r="A260" s="1" t="s">
        <v>282</v>
      </c>
      <c r="B260">
        <v>10080</v>
      </c>
      <c r="C260" s="1" t="s">
        <v>16</v>
      </c>
      <c r="D260" s="1" t="s">
        <v>16</v>
      </c>
      <c r="E260" s="1" t="s">
        <v>17</v>
      </c>
      <c r="F260" s="1" t="s">
        <v>13</v>
      </c>
      <c r="G260">
        <v>1</v>
      </c>
      <c r="H260">
        <v>3</v>
      </c>
      <c r="I260" s="1" t="s">
        <v>14</v>
      </c>
      <c r="J260">
        <v>99351</v>
      </c>
      <c r="K260">
        <f>HRDataset_v14_selected_columns[[#This Row],[Salary]]*12</f>
        <v>1192212</v>
      </c>
    </row>
    <row r="261" spans="1:11" x14ac:dyDescent="0.3">
      <c r="A261" s="1" t="s">
        <v>283</v>
      </c>
      <c r="B261">
        <v>10258</v>
      </c>
      <c r="C261" s="1" t="s">
        <v>11</v>
      </c>
      <c r="D261" s="1" t="s">
        <v>11</v>
      </c>
      <c r="E261" s="1" t="s">
        <v>12</v>
      </c>
      <c r="F261" s="1" t="s">
        <v>13</v>
      </c>
      <c r="G261">
        <v>6</v>
      </c>
      <c r="H261">
        <v>3</v>
      </c>
      <c r="I261" s="1" t="s">
        <v>14</v>
      </c>
      <c r="J261">
        <v>67251</v>
      </c>
      <c r="K261">
        <f>HRDataset_v14_selected_columns[[#This Row],[Salary]]*12</f>
        <v>807012</v>
      </c>
    </row>
    <row r="262" spans="1:11" x14ac:dyDescent="0.3">
      <c r="A262" s="1" t="s">
        <v>284</v>
      </c>
      <c r="B262">
        <v>10273</v>
      </c>
      <c r="C262" s="1" t="s">
        <v>11</v>
      </c>
      <c r="D262" s="1" t="s">
        <v>11</v>
      </c>
      <c r="E262" s="1" t="s">
        <v>17</v>
      </c>
      <c r="F262" s="1" t="s">
        <v>13</v>
      </c>
      <c r="G262">
        <v>3</v>
      </c>
      <c r="H262">
        <v>3</v>
      </c>
      <c r="I262" s="1" t="s">
        <v>14</v>
      </c>
      <c r="J262">
        <v>65707</v>
      </c>
      <c r="K262">
        <f>HRDataset_v14_selected_columns[[#This Row],[Salary]]*12</f>
        <v>788484</v>
      </c>
    </row>
    <row r="263" spans="1:11" x14ac:dyDescent="0.3">
      <c r="A263" s="1" t="s">
        <v>285</v>
      </c>
      <c r="B263">
        <v>10255</v>
      </c>
      <c r="C263" s="1" t="s">
        <v>11</v>
      </c>
      <c r="D263" s="1" t="s">
        <v>11</v>
      </c>
      <c r="E263" s="1" t="s">
        <v>17</v>
      </c>
      <c r="F263" s="1" t="s">
        <v>13</v>
      </c>
      <c r="G263">
        <v>6</v>
      </c>
      <c r="H263">
        <v>3</v>
      </c>
      <c r="I263" s="1" t="s">
        <v>14</v>
      </c>
      <c r="J263">
        <v>61555</v>
      </c>
      <c r="K263">
        <f>HRDataset_v14_selected_columns[[#This Row],[Salary]]*12</f>
        <v>738660</v>
      </c>
    </row>
    <row r="264" spans="1:11" x14ac:dyDescent="0.3">
      <c r="A264" s="1" t="s">
        <v>286</v>
      </c>
      <c r="B264">
        <v>10228</v>
      </c>
      <c r="C264" s="1" t="s">
        <v>16</v>
      </c>
      <c r="D264" s="1" t="s">
        <v>16</v>
      </c>
      <c r="E264" s="1" t="s">
        <v>12</v>
      </c>
      <c r="F264" s="1" t="s">
        <v>13</v>
      </c>
      <c r="G264">
        <v>3</v>
      </c>
      <c r="H264">
        <v>3</v>
      </c>
      <c r="I264" s="1" t="s">
        <v>14</v>
      </c>
      <c r="J264">
        <v>74679</v>
      </c>
      <c r="K264">
        <f>HRDataset_v14_selected_columns[[#This Row],[Salary]]*12</f>
        <v>896148</v>
      </c>
    </row>
    <row r="265" spans="1:11" x14ac:dyDescent="0.3">
      <c r="A265" s="1" t="s">
        <v>287</v>
      </c>
      <c r="B265">
        <v>10101</v>
      </c>
      <c r="C265" s="1" t="s">
        <v>11</v>
      </c>
      <c r="D265" s="1" t="s">
        <v>52</v>
      </c>
      <c r="E265" s="1" t="s">
        <v>17</v>
      </c>
      <c r="F265" s="1" t="s">
        <v>13</v>
      </c>
      <c r="G265">
        <v>3</v>
      </c>
      <c r="H265">
        <v>3</v>
      </c>
      <c r="I265" s="1" t="s">
        <v>14</v>
      </c>
      <c r="J265">
        <v>61242</v>
      </c>
      <c r="K265">
        <f>HRDataset_v14_selected_columns[[#This Row],[Salary]]*12</f>
        <v>734904</v>
      </c>
    </row>
    <row r="266" spans="1:11" x14ac:dyDescent="0.3">
      <c r="A266" s="1" t="s">
        <v>288</v>
      </c>
      <c r="B266">
        <v>10234</v>
      </c>
      <c r="C266" s="1" t="s">
        <v>16</v>
      </c>
      <c r="D266" s="1" t="s">
        <v>16</v>
      </c>
      <c r="E266" s="1" t="s">
        <v>12</v>
      </c>
      <c r="F266" s="1" t="s">
        <v>13</v>
      </c>
      <c r="G266">
        <v>3</v>
      </c>
      <c r="H266">
        <v>3</v>
      </c>
      <c r="I266" s="1" t="s">
        <v>14</v>
      </c>
      <c r="J266">
        <v>99020</v>
      </c>
      <c r="K266">
        <f>HRDataset_v14_selected_columns[[#This Row],[Salary]]*12</f>
        <v>1188240</v>
      </c>
    </row>
    <row r="267" spans="1:11" x14ac:dyDescent="0.3">
      <c r="A267" s="1" t="s">
        <v>289</v>
      </c>
      <c r="B267">
        <v>10167</v>
      </c>
      <c r="C267" s="1" t="s">
        <v>16</v>
      </c>
      <c r="D267" s="1" t="s">
        <v>16</v>
      </c>
      <c r="E267" s="1" t="s">
        <v>12</v>
      </c>
      <c r="F267" s="1" t="s">
        <v>13</v>
      </c>
      <c r="G267">
        <v>6</v>
      </c>
      <c r="H267">
        <v>3</v>
      </c>
      <c r="I267" s="1" t="s">
        <v>14</v>
      </c>
      <c r="J267">
        <v>70545</v>
      </c>
      <c r="K267">
        <f>HRDataset_v14_selected_columns[[#This Row],[Salary]]*12</f>
        <v>846540</v>
      </c>
    </row>
    <row r="268" spans="1:11" x14ac:dyDescent="0.3">
      <c r="A268" s="1" t="s">
        <v>290</v>
      </c>
      <c r="B268">
        <v>10112</v>
      </c>
      <c r="C268" s="1" t="s">
        <v>11</v>
      </c>
      <c r="D268" s="1" t="s">
        <v>11</v>
      </c>
      <c r="E268" s="1" t="s">
        <v>17</v>
      </c>
      <c r="F268" s="1" t="s">
        <v>13</v>
      </c>
      <c r="G268">
        <v>3</v>
      </c>
      <c r="H268">
        <v>3</v>
      </c>
      <c r="I268" s="1" t="s">
        <v>14</v>
      </c>
      <c r="J268">
        <v>97999</v>
      </c>
      <c r="K268">
        <f>HRDataset_v14_selected_columns[[#This Row],[Salary]]*12</f>
        <v>1175988</v>
      </c>
    </row>
    <row r="269" spans="1:11" x14ac:dyDescent="0.3">
      <c r="A269" s="1" t="s">
        <v>291</v>
      </c>
      <c r="B269">
        <v>10272</v>
      </c>
      <c r="C269" s="1" t="s">
        <v>16</v>
      </c>
      <c r="D269" s="1" t="s">
        <v>16</v>
      </c>
      <c r="E269" s="1" t="s">
        <v>17</v>
      </c>
      <c r="F269" s="1" t="s">
        <v>13</v>
      </c>
      <c r="G269">
        <v>6</v>
      </c>
      <c r="H269">
        <v>3</v>
      </c>
      <c r="I269" s="1" t="s">
        <v>14</v>
      </c>
      <c r="J269">
        <v>180000</v>
      </c>
      <c r="K269">
        <f>HRDataset_v14_selected_columns[[#This Row],[Salary]]*12</f>
        <v>2160000</v>
      </c>
    </row>
    <row r="270" spans="1:11" x14ac:dyDescent="0.3">
      <c r="A270" s="1" t="s">
        <v>292</v>
      </c>
      <c r="B270">
        <v>10182</v>
      </c>
      <c r="C270" s="1" t="s">
        <v>16</v>
      </c>
      <c r="D270" s="1" t="s">
        <v>16</v>
      </c>
      <c r="E270" s="1" t="s">
        <v>17</v>
      </c>
      <c r="F270" s="1" t="s">
        <v>13</v>
      </c>
      <c r="G270">
        <v>1</v>
      </c>
      <c r="H270">
        <v>3</v>
      </c>
      <c r="I270" s="1" t="s">
        <v>14</v>
      </c>
      <c r="J270">
        <v>49920</v>
      </c>
      <c r="K270">
        <f>HRDataset_v14_selected_columns[[#This Row],[Salary]]*12</f>
        <v>599040</v>
      </c>
    </row>
    <row r="271" spans="1:11" x14ac:dyDescent="0.3">
      <c r="A271" s="1" t="s">
        <v>293</v>
      </c>
      <c r="B271">
        <v>10231</v>
      </c>
      <c r="C271" s="1" t="s">
        <v>11</v>
      </c>
      <c r="D271" s="1" t="s">
        <v>11</v>
      </c>
      <c r="E271" s="1" t="s">
        <v>12</v>
      </c>
      <c r="F271" s="1" t="s">
        <v>13</v>
      </c>
      <c r="G271">
        <v>6</v>
      </c>
      <c r="H271">
        <v>3</v>
      </c>
      <c r="I271" s="1" t="s">
        <v>14</v>
      </c>
      <c r="J271">
        <v>65310</v>
      </c>
      <c r="K271">
        <f>HRDataset_v14_selected_columns[[#This Row],[Salary]]*12</f>
        <v>783720</v>
      </c>
    </row>
    <row r="272" spans="1:11" x14ac:dyDescent="0.3">
      <c r="A272" s="1" t="s">
        <v>294</v>
      </c>
      <c r="B272">
        <v>10089</v>
      </c>
      <c r="C272" s="1" t="s">
        <v>16</v>
      </c>
      <c r="D272" s="1" t="s">
        <v>16</v>
      </c>
      <c r="E272" s="1" t="s">
        <v>17</v>
      </c>
      <c r="F272" s="1" t="s">
        <v>13</v>
      </c>
      <c r="G272">
        <v>2</v>
      </c>
      <c r="H272">
        <v>3</v>
      </c>
      <c r="I272" s="1" t="s">
        <v>14</v>
      </c>
      <c r="J272">
        <v>250000</v>
      </c>
      <c r="K272">
        <f>HRDataset_v14_selected_columns[[#This Row],[Salary]]*12</f>
        <v>3000000</v>
      </c>
    </row>
    <row r="273" spans="1:11" x14ac:dyDescent="0.3">
      <c r="A273" s="1" t="s">
        <v>295</v>
      </c>
      <c r="B273">
        <v>10165</v>
      </c>
      <c r="C273" s="1" t="s">
        <v>11</v>
      </c>
      <c r="D273" s="1" t="s">
        <v>11</v>
      </c>
      <c r="E273" s="1" t="s">
        <v>12</v>
      </c>
      <c r="F273" s="1" t="s">
        <v>13</v>
      </c>
      <c r="G273">
        <v>6</v>
      </c>
      <c r="H273">
        <v>3</v>
      </c>
      <c r="I273" s="1" t="s">
        <v>63</v>
      </c>
      <c r="J273">
        <v>71339</v>
      </c>
      <c r="K273">
        <f>HRDataset_v14_selected_columns[[#This Row],[Salary]]*12</f>
        <v>856068</v>
      </c>
    </row>
    <row r="274" spans="1:11" x14ac:dyDescent="0.3">
      <c r="A274" s="1" t="s">
        <v>296</v>
      </c>
      <c r="B274">
        <v>10038</v>
      </c>
      <c r="C274" s="1" t="s">
        <v>11</v>
      </c>
      <c r="D274" s="1" t="s">
        <v>25</v>
      </c>
      <c r="E274" s="1" t="s">
        <v>12</v>
      </c>
      <c r="F274" s="1" t="s">
        <v>13</v>
      </c>
      <c r="G274">
        <v>1</v>
      </c>
      <c r="H274">
        <v>3</v>
      </c>
      <c r="I274" s="1" t="s">
        <v>14</v>
      </c>
      <c r="J274">
        <v>64520</v>
      </c>
      <c r="K274">
        <f>HRDataset_v14_selected_columns[[#This Row],[Salary]]*12</f>
        <v>774240</v>
      </c>
    </row>
    <row r="275" spans="1:11" x14ac:dyDescent="0.3">
      <c r="A275" s="1" t="s">
        <v>297</v>
      </c>
      <c r="B275">
        <v>10232</v>
      </c>
      <c r="C275" s="1" t="s">
        <v>11</v>
      </c>
      <c r="D275" s="1" t="s">
        <v>11</v>
      </c>
      <c r="E275" s="1" t="s">
        <v>17</v>
      </c>
      <c r="F275" s="1" t="s">
        <v>13</v>
      </c>
      <c r="G275">
        <v>3</v>
      </c>
      <c r="H275">
        <v>3</v>
      </c>
      <c r="I275" s="1" t="s">
        <v>14</v>
      </c>
      <c r="J275">
        <v>81584</v>
      </c>
      <c r="K275">
        <f>HRDataset_v14_selected_columns[[#This Row],[Salary]]*12</f>
        <v>979008</v>
      </c>
    </row>
    <row r="276" spans="1:11" x14ac:dyDescent="0.3">
      <c r="A276" s="1" t="s">
        <v>298</v>
      </c>
      <c r="B276">
        <v>10134</v>
      </c>
      <c r="C276" s="1" t="s">
        <v>16</v>
      </c>
      <c r="D276" s="1" t="s">
        <v>16</v>
      </c>
      <c r="E276" s="1" t="s">
        <v>12</v>
      </c>
      <c r="F276" s="1" t="s">
        <v>13</v>
      </c>
      <c r="G276">
        <v>1</v>
      </c>
      <c r="H276">
        <v>3</v>
      </c>
      <c r="I276" s="1" t="s">
        <v>14</v>
      </c>
      <c r="J276">
        <v>93046</v>
      </c>
      <c r="K276">
        <f>HRDataset_v14_selected_columns[[#This Row],[Salary]]*12</f>
        <v>1116552</v>
      </c>
    </row>
    <row r="277" spans="1:11" x14ac:dyDescent="0.3">
      <c r="A277" s="1" t="s">
        <v>299</v>
      </c>
      <c r="B277">
        <v>10103</v>
      </c>
      <c r="C277" s="1" t="s">
        <v>11</v>
      </c>
      <c r="D277" s="1" t="s">
        <v>52</v>
      </c>
      <c r="E277" s="1" t="s">
        <v>12</v>
      </c>
      <c r="F277" s="1" t="s">
        <v>13</v>
      </c>
      <c r="G277">
        <v>6</v>
      </c>
      <c r="H277">
        <v>3</v>
      </c>
      <c r="I277" s="1" t="s">
        <v>14</v>
      </c>
      <c r="J277">
        <v>70468</v>
      </c>
      <c r="K277">
        <f>HRDataset_v14_selected_columns[[#This Row],[Salary]]*12</f>
        <v>845616</v>
      </c>
    </row>
    <row r="278" spans="1:11" x14ac:dyDescent="0.3">
      <c r="A278" s="1" t="s">
        <v>300</v>
      </c>
      <c r="B278">
        <v>10008</v>
      </c>
      <c r="C278" s="1" t="s">
        <v>11</v>
      </c>
      <c r="D278" s="1" t="s">
        <v>11</v>
      </c>
      <c r="E278" s="1" t="s">
        <v>17</v>
      </c>
      <c r="F278" s="1" t="s">
        <v>13</v>
      </c>
      <c r="G278">
        <v>3</v>
      </c>
      <c r="H278">
        <v>4</v>
      </c>
      <c r="I278" s="1" t="s">
        <v>63</v>
      </c>
      <c r="J278">
        <v>51777</v>
      </c>
      <c r="K278">
        <f>HRDataset_v14_selected_columns[[#This Row],[Salary]]*12</f>
        <v>621324</v>
      </c>
    </row>
    <row r="279" spans="1:11" x14ac:dyDescent="0.3">
      <c r="A279" s="1" t="s">
        <v>301</v>
      </c>
      <c r="B279">
        <v>10110</v>
      </c>
      <c r="C279" s="1" t="s">
        <v>11</v>
      </c>
      <c r="D279" s="1" t="s">
        <v>11</v>
      </c>
      <c r="E279" s="1" t="s">
        <v>17</v>
      </c>
      <c r="F279" s="1" t="s">
        <v>13</v>
      </c>
      <c r="G279">
        <v>4</v>
      </c>
      <c r="H279">
        <v>3</v>
      </c>
      <c r="I279" s="1" t="s">
        <v>14</v>
      </c>
      <c r="J279">
        <v>105688</v>
      </c>
      <c r="K279">
        <f>HRDataset_v14_selected_columns[[#This Row],[Salary]]*12</f>
        <v>1268256</v>
      </c>
    </row>
    <row r="280" spans="1:11" x14ac:dyDescent="0.3">
      <c r="A280" s="1" t="s">
        <v>302</v>
      </c>
      <c r="B280">
        <v>10288</v>
      </c>
      <c r="C280" s="1" t="s">
        <v>16</v>
      </c>
      <c r="D280" s="1" t="s">
        <v>16</v>
      </c>
      <c r="E280" s="1" t="s">
        <v>12</v>
      </c>
      <c r="F280" s="1" t="s">
        <v>13</v>
      </c>
      <c r="G280">
        <v>3</v>
      </c>
      <c r="H280">
        <v>2</v>
      </c>
      <c r="I280" s="1" t="s">
        <v>63</v>
      </c>
      <c r="J280">
        <v>157000</v>
      </c>
      <c r="K280">
        <f>HRDataset_v14_selected_columns[[#This Row],[Salary]]*12</f>
        <v>1884000</v>
      </c>
    </row>
    <row r="281" spans="1:11" x14ac:dyDescent="0.3">
      <c r="A281" s="1" t="s">
        <v>303</v>
      </c>
      <c r="B281">
        <v>10151</v>
      </c>
      <c r="C281" s="1" t="s">
        <v>16</v>
      </c>
      <c r="D281" s="1" t="s">
        <v>16</v>
      </c>
      <c r="E281" s="1" t="s">
        <v>17</v>
      </c>
      <c r="F281" s="1" t="s">
        <v>13</v>
      </c>
      <c r="G281">
        <v>3</v>
      </c>
      <c r="H281">
        <v>3</v>
      </c>
      <c r="I281" s="1" t="s">
        <v>14</v>
      </c>
      <c r="J281">
        <v>52599</v>
      </c>
      <c r="K281">
        <f>HRDataset_v14_selected_columns[[#This Row],[Salary]]*12</f>
        <v>631188</v>
      </c>
    </row>
    <row r="282" spans="1:11" x14ac:dyDescent="0.3">
      <c r="A282" s="1" t="s">
        <v>304</v>
      </c>
      <c r="B282">
        <v>10079</v>
      </c>
      <c r="C282" s="1" t="s">
        <v>11</v>
      </c>
      <c r="D282" s="1" t="s">
        <v>11</v>
      </c>
      <c r="E282" s="1" t="s">
        <v>12</v>
      </c>
      <c r="F282" s="1" t="s">
        <v>13</v>
      </c>
      <c r="G282">
        <v>3</v>
      </c>
      <c r="H282">
        <v>3</v>
      </c>
      <c r="I282" s="1" t="s">
        <v>14</v>
      </c>
      <c r="J282">
        <v>87921</v>
      </c>
      <c r="K282">
        <f>HRDataset_v14_selected_columns[[#This Row],[Salary]]*12</f>
        <v>1055052</v>
      </c>
    </row>
    <row r="283" spans="1:11" x14ac:dyDescent="0.3">
      <c r="A283" s="1" t="s">
        <v>305</v>
      </c>
      <c r="B283">
        <v>10042</v>
      </c>
      <c r="C283" s="1" t="s">
        <v>11</v>
      </c>
      <c r="D283" s="1" t="s">
        <v>11</v>
      </c>
      <c r="E283" s="1" t="s">
        <v>17</v>
      </c>
      <c r="F283" s="1" t="s">
        <v>13</v>
      </c>
      <c r="G283">
        <v>6</v>
      </c>
      <c r="H283">
        <v>3</v>
      </c>
      <c r="I283" s="1" t="s">
        <v>14</v>
      </c>
      <c r="J283">
        <v>63695</v>
      </c>
      <c r="K283">
        <f>HRDataset_v14_selected_columns[[#This Row],[Salary]]*12</f>
        <v>764340</v>
      </c>
    </row>
    <row r="284" spans="1:11" x14ac:dyDescent="0.3">
      <c r="A284" s="1" t="s">
        <v>306</v>
      </c>
      <c r="B284">
        <v>10121</v>
      </c>
      <c r="C284" s="1" t="s">
        <v>11</v>
      </c>
      <c r="D284" s="1" t="s">
        <v>11</v>
      </c>
      <c r="E284" s="1" t="s">
        <v>17</v>
      </c>
      <c r="F284" s="1" t="s">
        <v>13</v>
      </c>
      <c r="G284">
        <v>6</v>
      </c>
      <c r="H284">
        <v>3</v>
      </c>
      <c r="I284" s="1" t="s">
        <v>14</v>
      </c>
      <c r="J284">
        <v>63051</v>
      </c>
      <c r="K284">
        <f>HRDataset_v14_selected_columns[[#This Row],[Salary]]*12</f>
        <v>756612</v>
      </c>
    </row>
    <row r="285" spans="1:11" x14ac:dyDescent="0.3">
      <c r="A285" s="1" t="s">
        <v>307</v>
      </c>
      <c r="B285">
        <v>10041</v>
      </c>
      <c r="C285" s="1" t="s">
        <v>11</v>
      </c>
      <c r="D285" s="1" t="s">
        <v>11</v>
      </c>
      <c r="E285" s="1" t="s">
        <v>12</v>
      </c>
      <c r="F285" s="1" t="s">
        <v>13</v>
      </c>
      <c r="G285">
        <v>6</v>
      </c>
      <c r="H285">
        <v>3</v>
      </c>
      <c r="I285" s="1" t="s">
        <v>14</v>
      </c>
      <c r="J285">
        <v>68829</v>
      </c>
      <c r="K285">
        <f>HRDataset_v14_selected_columns[[#This Row],[Salary]]*12</f>
        <v>825948</v>
      </c>
    </row>
    <row r="286" spans="1:11" x14ac:dyDescent="0.3">
      <c r="A286" s="1" t="s">
        <v>308</v>
      </c>
      <c r="B286">
        <v>10016</v>
      </c>
      <c r="C286" s="1" t="s">
        <v>16</v>
      </c>
      <c r="D286" s="1" t="s">
        <v>16</v>
      </c>
      <c r="E286" s="1" t="s">
        <v>17</v>
      </c>
      <c r="F286" s="1" t="s">
        <v>13</v>
      </c>
      <c r="G286">
        <v>3</v>
      </c>
      <c r="H286">
        <v>4</v>
      </c>
      <c r="I286" s="1" t="s">
        <v>14</v>
      </c>
      <c r="J286">
        <v>93554</v>
      </c>
      <c r="K286">
        <f>HRDataset_v14_selected_columns[[#This Row],[Salary]]*12</f>
        <v>1122648</v>
      </c>
    </row>
    <row r="287" spans="1:11" x14ac:dyDescent="0.3">
      <c r="A287" s="1" t="s">
        <v>309</v>
      </c>
      <c r="B287">
        <v>10124</v>
      </c>
      <c r="C287" s="1" t="s">
        <v>16</v>
      </c>
      <c r="D287" s="1" t="s">
        <v>16</v>
      </c>
      <c r="E287" s="1" t="s">
        <v>17</v>
      </c>
      <c r="F287" s="1" t="s">
        <v>13</v>
      </c>
      <c r="G287">
        <v>6</v>
      </c>
      <c r="H287">
        <v>3</v>
      </c>
      <c r="I287" s="1" t="s">
        <v>14</v>
      </c>
      <c r="J287">
        <v>61844</v>
      </c>
      <c r="K287">
        <f>HRDataset_v14_selected_columns[[#This Row],[Salary]]*12</f>
        <v>742128</v>
      </c>
    </row>
    <row r="288" spans="1:11" x14ac:dyDescent="0.3">
      <c r="A288" s="1" t="s">
        <v>310</v>
      </c>
      <c r="B288">
        <v>10239</v>
      </c>
      <c r="C288" s="1" t="s">
        <v>16</v>
      </c>
      <c r="D288" s="1" t="s">
        <v>16</v>
      </c>
      <c r="E288" s="1" t="s">
        <v>17</v>
      </c>
      <c r="F288" s="1" t="s">
        <v>13</v>
      </c>
      <c r="G288">
        <v>3</v>
      </c>
      <c r="H288">
        <v>3</v>
      </c>
      <c r="I288" s="1" t="s">
        <v>14</v>
      </c>
      <c r="J288">
        <v>95920</v>
      </c>
      <c r="K288">
        <f>HRDataset_v14_selected_columns[[#This Row],[Salary]]*12</f>
        <v>1151040</v>
      </c>
    </row>
    <row r="289" spans="1:11" x14ac:dyDescent="0.3">
      <c r="A289" s="1" t="s">
        <v>311</v>
      </c>
      <c r="B289">
        <v>10140</v>
      </c>
      <c r="C289" s="1" t="s">
        <v>16</v>
      </c>
      <c r="D289" s="1" t="s">
        <v>16</v>
      </c>
      <c r="E289" s="1" t="s">
        <v>12</v>
      </c>
      <c r="F289" s="1" t="s">
        <v>13</v>
      </c>
      <c r="G289">
        <v>6</v>
      </c>
      <c r="H289">
        <v>3</v>
      </c>
      <c r="I289" s="1" t="s">
        <v>14</v>
      </c>
      <c r="J289">
        <v>61809</v>
      </c>
      <c r="K289">
        <f>HRDataset_v14_selected_columns[[#This Row],[Salary]]*12</f>
        <v>741708</v>
      </c>
    </row>
    <row r="290" spans="1:11" x14ac:dyDescent="0.3">
      <c r="A290" s="1" t="s">
        <v>312</v>
      </c>
      <c r="B290">
        <v>10162</v>
      </c>
      <c r="C290" s="1" t="s">
        <v>16</v>
      </c>
      <c r="D290" s="1" t="s">
        <v>16</v>
      </c>
      <c r="E290" s="1" t="s">
        <v>17</v>
      </c>
      <c r="F290" s="1" t="s">
        <v>13</v>
      </c>
      <c r="G290">
        <v>3</v>
      </c>
      <c r="H290">
        <v>3</v>
      </c>
      <c r="I290" s="1" t="s">
        <v>14</v>
      </c>
      <c r="J290">
        <v>89883</v>
      </c>
      <c r="K290">
        <f>HRDataset_v14_selected_columns[[#This Row],[Salary]]*12</f>
        <v>1078596</v>
      </c>
    </row>
    <row r="291" spans="1:11" x14ac:dyDescent="0.3">
      <c r="A291" s="1" t="s">
        <v>313</v>
      </c>
      <c r="B291">
        <v>10086</v>
      </c>
      <c r="C291" s="1" t="s">
        <v>11</v>
      </c>
      <c r="D291" s="1" t="s">
        <v>11</v>
      </c>
      <c r="E291" s="1" t="s">
        <v>17</v>
      </c>
      <c r="F291" s="1" t="s">
        <v>13</v>
      </c>
      <c r="G291">
        <v>3</v>
      </c>
      <c r="H291">
        <v>3</v>
      </c>
      <c r="I291" s="1" t="s">
        <v>14</v>
      </c>
      <c r="J291">
        <v>150290</v>
      </c>
      <c r="K291">
        <f>HRDataset_v14_selected_columns[[#This Row],[Salary]]*12</f>
        <v>1803480</v>
      </c>
    </row>
    <row r="292" spans="1:11" x14ac:dyDescent="0.3">
      <c r="A292" s="1" t="s">
        <v>314</v>
      </c>
      <c r="B292">
        <v>10198</v>
      </c>
      <c r="C292" s="1" t="s">
        <v>11</v>
      </c>
      <c r="D292" s="1" t="s">
        <v>11</v>
      </c>
      <c r="E292" s="1" t="s">
        <v>12</v>
      </c>
      <c r="F292" s="1" t="s">
        <v>13</v>
      </c>
      <c r="G292">
        <v>3</v>
      </c>
      <c r="H292">
        <v>3</v>
      </c>
      <c r="I292" s="1" t="s">
        <v>14</v>
      </c>
      <c r="J292">
        <v>140920</v>
      </c>
      <c r="K292">
        <f>HRDataset_v14_selected_columns[[#This Row],[Salary]]*12</f>
        <v>1691040</v>
      </c>
    </row>
    <row r="293" spans="1:11" x14ac:dyDescent="0.3">
      <c r="A293" s="1" t="s">
        <v>315</v>
      </c>
      <c r="B293">
        <v>10126</v>
      </c>
      <c r="C293" s="1" t="s">
        <v>16</v>
      </c>
      <c r="D293" s="1" t="s">
        <v>16</v>
      </c>
      <c r="E293" s="1" t="s">
        <v>17</v>
      </c>
      <c r="F293" s="1" t="s">
        <v>13</v>
      </c>
      <c r="G293">
        <v>4</v>
      </c>
      <c r="H293">
        <v>3</v>
      </c>
      <c r="I293" s="1" t="s">
        <v>14</v>
      </c>
      <c r="J293">
        <v>86214</v>
      </c>
      <c r="K293">
        <f>HRDataset_v14_selected_columns[[#This Row],[Salary]]*12</f>
        <v>1034568</v>
      </c>
    </row>
    <row r="294" spans="1:11" x14ac:dyDescent="0.3">
      <c r="A294" s="1" t="s">
        <v>316</v>
      </c>
      <c r="B294">
        <v>10179</v>
      </c>
      <c r="C294" s="1" t="s">
        <v>16</v>
      </c>
      <c r="D294" s="1" t="s">
        <v>16</v>
      </c>
      <c r="E294" s="1" t="s">
        <v>17</v>
      </c>
      <c r="F294" s="1" t="s">
        <v>13</v>
      </c>
      <c r="G294">
        <v>3</v>
      </c>
      <c r="H294">
        <v>3</v>
      </c>
      <c r="I294" s="1" t="s">
        <v>14</v>
      </c>
      <c r="J294">
        <v>50750</v>
      </c>
      <c r="K294">
        <f>HRDataset_v14_selected_columns[[#This Row],[Salary]]*12</f>
        <v>609000</v>
      </c>
    </row>
    <row r="295" spans="1:11" x14ac:dyDescent="0.3">
      <c r="A295" s="1" t="s">
        <v>317</v>
      </c>
      <c r="B295">
        <v>10178</v>
      </c>
      <c r="C295" s="1" t="s">
        <v>16</v>
      </c>
      <c r="D295" s="1" t="s">
        <v>16</v>
      </c>
      <c r="E295" s="1" t="s">
        <v>12</v>
      </c>
      <c r="F295" s="1" t="s">
        <v>13</v>
      </c>
      <c r="G295">
        <v>3</v>
      </c>
      <c r="H295">
        <v>3</v>
      </c>
      <c r="I295" s="1" t="s">
        <v>14</v>
      </c>
      <c r="J295">
        <v>87826</v>
      </c>
      <c r="K295">
        <f>HRDataset_v14_selected_columns[[#This Row],[Salary]]*12</f>
        <v>1053912</v>
      </c>
    </row>
    <row r="296" spans="1:11" x14ac:dyDescent="0.3">
      <c r="A296" s="1" t="s">
        <v>318</v>
      </c>
      <c r="B296">
        <v>10039</v>
      </c>
      <c r="C296" s="1" t="s">
        <v>11</v>
      </c>
      <c r="D296" s="1" t="s">
        <v>11</v>
      </c>
      <c r="E296" s="1" t="s">
        <v>17</v>
      </c>
      <c r="F296" s="1" t="s">
        <v>13</v>
      </c>
      <c r="G296">
        <v>1</v>
      </c>
      <c r="H296">
        <v>3</v>
      </c>
      <c r="I296" s="1" t="s">
        <v>14</v>
      </c>
      <c r="J296">
        <v>51920</v>
      </c>
      <c r="K296">
        <f>HRDataset_v14_selected_columns[[#This Row],[Salary]]*12</f>
        <v>623040</v>
      </c>
    </row>
    <row r="297" spans="1:11" x14ac:dyDescent="0.3">
      <c r="A297" s="1" t="s">
        <v>319</v>
      </c>
      <c r="B297">
        <v>10291</v>
      </c>
      <c r="C297" s="1" t="s">
        <v>11</v>
      </c>
      <c r="D297" s="1" t="s">
        <v>25</v>
      </c>
      <c r="E297" s="1" t="s">
        <v>12</v>
      </c>
      <c r="F297" s="1" t="s">
        <v>13</v>
      </c>
      <c r="G297">
        <v>6</v>
      </c>
      <c r="H297">
        <v>2</v>
      </c>
      <c r="I297" s="1" t="s">
        <v>63</v>
      </c>
      <c r="J297">
        <v>72992</v>
      </c>
      <c r="K297">
        <f>HRDataset_v14_selected_columns[[#This Row],[Salary]]*12</f>
        <v>875904</v>
      </c>
    </row>
    <row r="298" spans="1:11" x14ac:dyDescent="0.3">
      <c r="A298" s="1" t="s">
        <v>320</v>
      </c>
      <c r="B298">
        <v>10119</v>
      </c>
      <c r="C298" s="1" t="s">
        <v>16</v>
      </c>
      <c r="D298" s="1" t="s">
        <v>16</v>
      </c>
      <c r="E298" s="1" t="s">
        <v>17</v>
      </c>
      <c r="F298" s="1" t="s">
        <v>13</v>
      </c>
      <c r="G298">
        <v>3</v>
      </c>
      <c r="H298">
        <v>3</v>
      </c>
      <c r="I298" s="1" t="s">
        <v>14</v>
      </c>
      <c r="J298">
        <v>66593</v>
      </c>
      <c r="K298">
        <f>HRDataset_v14_selected_columns[[#This Row],[Salary]]*12</f>
        <v>799116</v>
      </c>
    </row>
    <row r="299" spans="1:11" x14ac:dyDescent="0.3">
      <c r="A299" s="1" t="s">
        <v>321</v>
      </c>
      <c r="B299">
        <v>10307</v>
      </c>
      <c r="C299" s="1" t="s">
        <v>16</v>
      </c>
      <c r="D299" s="1" t="s">
        <v>16</v>
      </c>
      <c r="E299" s="1" t="s">
        <v>12</v>
      </c>
      <c r="F299" s="1" t="s">
        <v>13</v>
      </c>
      <c r="G299">
        <v>6</v>
      </c>
      <c r="H299">
        <v>1</v>
      </c>
      <c r="I299" s="1" t="s">
        <v>14</v>
      </c>
      <c r="J299">
        <v>58273</v>
      </c>
      <c r="K299">
        <f>HRDataset_v14_selected_columns[[#This Row],[Salary]]*12</f>
        <v>699276</v>
      </c>
    </row>
    <row r="300" spans="1:11" x14ac:dyDescent="0.3">
      <c r="A300" s="1" t="s">
        <v>322</v>
      </c>
      <c r="B300">
        <v>10147</v>
      </c>
      <c r="C300" s="1" t="s">
        <v>11</v>
      </c>
      <c r="D300" s="1" t="s">
        <v>11</v>
      </c>
      <c r="E300" s="1" t="s">
        <v>12</v>
      </c>
      <c r="F300" s="1" t="s">
        <v>13</v>
      </c>
      <c r="G300">
        <v>1</v>
      </c>
      <c r="H300">
        <v>3</v>
      </c>
      <c r="I300" s="1" t="s">
        <v>14</v>
      </c>
      <c r="J300">
        <v>63003</v>
      </c>
      <c r="K300">
        <f>HRDataset_v14_selected_columns[[#This Row],[Salary]]*12</f>
        <v>756036</v>
      </c>
    </row>
    <row r="301" spans="1:11" x14ac:dyDescent="0.3">
      <c r="A301" s="1" t="s">
        <v>323</v>
      </c>
      <c r="B301">
        <v>10241</v>
      </c>
      <c r="C301" s="1" t="s">
        <v>16</v>
      </c>
      <c r="D301" s="1" t="s">
        <v>16</v>
      </c>
      <c r="E301" s="1" t="s">
        <v>17</v>
      </c>
      <c r="F301" s="1" t="s">
        <v>13</v>
      </c>
      <c r="G301">
        <v>6</v>
      </c>
      <c r="H301">
        <v>3</v>
      </c>
      <c r="I301" s="1" t="s">
        <v>14</v>
      </c>
      <c r="J301">
        <v>60120</v>
      </c>
      <c r="K301">
        <f>HRDataset_v14_selected_columns[[#This Row],[Salary]]*12</f>
        <v>721440</v>
      </c>
    </row>
    <row r="302" spans="1:11" x14ac:dyDescent="0.3">
      <c r="A302" s="1" t="s">
        <v>324</v>
      </c>
      <c r="B302">
        <v>10024</v>
      </c>
      <c r="C302" s="1" t="s">
        <v>11</v>
      </c>
      <c r="D302" s="1" t="s">
        <v>11</v>
      </c>
      <c r="E302" s="1" t="s">
        <v>12</v>
      </c>
      <c r="F302" s="1" t="s">
        <v>13</v>
      </c>
      <c r="G302">
        <v>4</v>
      </c>
      <c r="H302">
        <v>4</v>
      </c>
      <c r="I302" s="1" t="s">
        <v>14</v>
      </c>
      <c r="J302">
        <v>92989</v>
      </c>
      <c r="K302">
        <f>HRDataset_v14_selected_columns[[#This Row],[Salary]]*12</f>
        <v>1115868</v>
      </c>
    </row>
    <row r="303" spans="1:11" x14ac:dyDescent="0.3">
      <c r="A303" s="1" t="s">
        <v>325</v>
      </c>
      <c r="B303">
        <v>10173</v>
      </c>
      <c r="C303" s="1" t="s">
        <v>16</v>
      </c>
      <c r="D303" s="1" t="s">
        <v>16</v>
      </c>
      <c r="E303" s="1" t="s">
        <v>12</v>
      </c>
      <c r="F303" s="1" t="s">
        <v>13</v>
      </c>
      <c r="G303">
        <v>3</v>
      </c>
      <c r="H303">
        <v>3</v>
      </c>
      <c r="I303" s="1" t="s">
        <v>14</v>
      </c>
      <c r="J303">
        <v>90100</v>
      </c>
      <c r="K303">
        <f>HRDataset_v14_selected_columns[[#This Row],[Salary]]*12</f>
        <v>1081200</v>
      </c>
    </row>
    <row r="304" spans="1:11" x14ac:dyDescent="0.3">
      <c r="A304" s="1" t="s">
        <v>326</v>
      </c>
      <c r="B304">
        <v>10161</v>
      </c>
      <c r="C304" s="1" t="s">
        <v>11</v>
      </c>
      <c r="D304" s="1" t="s">
        <v>11</v>
      </c>
      <c r="E304" s="1" t="s">
        <v>17</v>
      </c>
      <c r="F304" s="1" t="s">
        <v>13</v>
      </c>
      <c r="G304">
        <v>6</v>
      </c>
      <c r="H304">
        <v>3</v>
      </c>
      <c r="I304" s="1" t="s">
        <v>14</v>
      </c>
      <c r="J304">
        <v>58370</v>
      </c>
      <c r="K304">
        <f>HRDataset_v14_selected_columns[[#This Row],[Salary]]*12</f>
        <v>700440</v>
      </c>
    </row>
    <row r="305" spans="1:11" x14ac:dyDescent="0.3">
      <c r="A305" s="1" t="s">
        <v>327</v>
      </c>
      <c r="B305">
        <v>10013</v>
      </c>
      <c r="C305" s="1" t="s">
        <v>11</v>
      </c>
      <c r="D305" s="1" t="s">
        <v>52</v>
      </c>
      <c r="E305" s="1" t="s">
        <v>12</v>
      </c>
      <c r="F305" s="1" t="s">
        <v>13</v>
      </c>
      <c r="G305">
        <v>6</v>
      </c>
      <c r="H305">
        <v>4</v>
      </c>
      <c r="I305" s="1" t="s">
        <v>14</v>
      </c>
      <c r="J305">
        <v>64397</v>
      </c>
      <c r="K305">
        <f>HRDataset_v14_selected_columns[[#This Row],[Salary]]*12</f>
        <v>772764</v>
      </c>
    </row>
    <row r="306" spans="1:11" x14ac:dyDescent="0.3">
      <c r="A306" s="1" t="s">
        <v>328</v>
      </c>
      <c r="B306">
        <v>10045</v>
      </c>
      <c r="C306" s="1" t="s">
        <v>16</v>
      </c>
      <c r="D306" s="1" t="s">
        <v>16</v>
      </c>
      <c r="E306" s="1" t="s">
        <v>12</v>
      </c>
      <c r="F306" s="1" t="s">
        <v>13</v>
      </c>
      <c r="G306">
        <v>3</v>
      </c>
      <c r="H306">
        <v>3</v>
      </c>
      <c r="I306" s="1" t="s">
        <v>14</v>
      </c>
      <c r="J306">
        <v>76029</v>
      </c>
      <c r="K306">
        <f>HRDataset_v14_selected_columns[[#This Row],[Salary]]*12</f>
        <v>912348</v>
      </c>
    </row>
    <row r="307" spans="1:11" x14ac:dyDescent="0.3">
      <c r="A307" s="1" t="s">
        <v>329</v>
      </c>
      <c r="B307">
        <v>10205</v>
      </c>
      <c r="C307" s="1" t="s">
        <v>16</v>
      </c>
      <c r="D307" s="1" t="s">
        <v>16</v>
      </c>
      <c r="E307" s="1" t="s">
        <v>17</v>
      </c>
      <c r="F307" s="1" t="s">
        <v>13</v>
      </c>
      <c r="G307">
        <v>6</v>
      </c>
      <c r="H307">
        <v>3</v>
      </c>
      <c r="I307" s="1" t="s">
        <v>14</v>
      </c>
      <c r="J307">
        <v>57859</v>
      </c>
      <c r="K307">
        <f>HRDataset_v14_selected_columns[[#This Row],[Salary]]*12</f>
        <v>694308</v>
      </c>
    </row>
    <row r="308" spans="1:11" x14ac:dyDescent="0.3">
      <c r="A308" s="1" t="s">
        <v>330</v>
      </c>
      <c r="B308">
        <v>10253</v>
      </c>
      <c r="C308" s="1" t="s">
        <v>11</v>
      </c>
      <c r="D308" s="1" t="s">
        <v>11</v>
      </c>
      <c r="E308" s="1" t="s">
        <v>12</v>
      </c>
      <c r="F308" s="1" t="s">
        <v>13</v>
      </c>
      <c r="G308">
        <v>6</v>
      </c>
      <c r="H308">
        <v>3</v>
      </c>
      <c r="I308" s="1" t="s">
        <v>14</v>
      </c>
      <c r="J308">
        <v>55875</v>
      </c>
      <c r="K308">
        <f>HRDataset_v14_selected_columns[[#This Row],[Salary]]*12</f>
        <v>670500</v>
      </c>
    </row>
    <row r="309" spans="1:11" x14ac:dyDescent="0.3">
      <c r="A309" s="1" t="s">
        <v>331</v>
      </c>
      <c r="B309">
        <v>10172</v>
      </c>
      <c r="C309" s="1" t="s">
        <v>11</v>
      </c>
      <c r="D309" s="1" t="s">
        <v>11</v>
      </c>
      <c r="E309" s="1" t="s">
        <v>12</v>
      </c>
      <c r="F309" s="1" t="s">
        <v>13</v>
      </c>
      <c r="G309">
        <v>3</v>
      </c>
      <c r="H309">
        <v>3</v>
      </c>
      <c r="I309" s="1" t="s">
        <v>14</v>
      </c>
      <c r="J309">
        <v>84903</v>
      </c>
      <c r="K309">
        <f>HRDataset_v14_selected_columns[[#This Row],[Salary]]*12</f>
        <v>1018836</v>
      </c>
    </row>
    <row r="310" spans="1:11" x14ac:dyDescent="0.3">
      <c r="A310" s="1" t="s">
        <v>332</v>
      </c>
      <c r="B310">
        <v>10127</v>
      </c>
      <c r="C310" s="1" t="s">
        <v>11</v>
      </c>
      <c r="D310" s="1" t="s">
        <v>20</v>
      </c>
      <c r="E310" s="1" t="s">
        <v>17</v>
      </c>
      <c r="F310" s="1" t="s">
        <v>13</v>
      </c>
      <c r="G310">
        <v>3</v>
      </c>
      <c r="H310">
        <v>3</v>
      </c>
      <c r="I310" s="1" t="s">
        <v>14</v>
      </c>
      <c r="J310">
        <v>107226</v>
      </c>
      <c r="K310">
        <f>HRDataset_v14_selected_columns[[#This Row],[Salary]]*12</f>
        <v>1286712</v>
      </c>
    </row>
    <row r="311" spans="1:11" x14ac:dyDescent="0.3">
      <c r="A311" s="1" t="s">
        <v>333</v>
      </c>
      <c r="B311">
        <v>10010</v>
      </c>
      <c r="C311" s="1" t="s">
        <v>11</v>
      </c>
      <c r="D311" s="1" t="s">
        <v>11</v>
      </c>
      <c r="E311" s="1" t="s">
        <v>17</v>
      </c>
      <c r="F311" s="1" t="s">
        <v>13</v>
      </c>
      <c r="G311">
        <v>3</v>
      </c>
      <c r="H311">
        <v>4</v>
      </c>
      <c r="I311" s="1" t="s">
        <v>14</v>
      </c>
      <c r="J311">
        <v>220450</v>
      </c>
      <c r="K311">
        <f>HRDataset_v14_selected_columns[[#This Row],[Salary]]*12</f>
        <v>2645400</v>
      </c>
    </row>
    <row r="312" spans="1:11" x14ac:dyDescent="0.3">
      <c r="A312" s="1" t="s">
        <v>334</v>
      </c>
      <c r="B312">
        <v>10043</v>
      </c>
      <c r="C312" s="1" t="s">
        <v>11</v>
      </c>
      <c r="D312" s="1" t="s">
        <v>11</v>
      </c>
      <c r="E312" s="1" t="s">
        <v>17</v>
      </c>
      <c r="F312" s="1" t="s">
        <v>13</v>
      </c>
      <c r="G312">
        <v>3</v>
      </c>
      <c r="H312">
        <v>3</v>
      </c>
      <c r="I312" s="1" t="s">
        <v>14</v>
      </c>
      <c r="J312">
        <v>89292</v>
      </c>
      <c r="K312">
        <f>HRDataset_v14_selected_columns[[#This Row],[Salary]]*12</f>
        <v>1071504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21EAEB81-26C1-4006-ACD3-D3D5A2CDD26E}">
  <ds:schemaRefs/>
</ds:datastoreItem>
</file>

<file path=customXml/itemProps2.xml><?xml version="1.0" encoding="utf-8"?>
<ds:datastoreItem xmlns:ds="http://schemas.openxmlformats.org/officeDocument/2006/customXml" ds:itemID="{EC496F19-FDF1-49F4-8114-9A3C81F65878}">
  <ds:schemaRefs/>
</ds:datastoreItem>
</file>

<file path=customXml/itemProps3.xml><?xml version="1.0" encoding="utf-8"?>
<ds:datastoreItem xmlns:ds="http://schemas.openxmlformats.org/officeDocument/2006/customXml" ds:itemID="{041ECE2A-F117-42B2-AA70-785D107EAF71}">
  <ds:schemaRefs/>
</ds:datastoreItem>
</file>

<file path=customXml/itemProps4.xml><?xml version="1.0" encoding="utf-8"?>
<ds:datastoreItem xmlns:ds="http://schemas.openxmlformats.org/officeDocument/2006/customXml" ds:itemID="{05ABEF84-015C-45CD-9CC0-D0F952CC3D51}">
  <ds:schemaRefs>
    <ds:schemaRef ds:uri="http://schemas.microsoft.com/DataMashup"/>
  </ds:schemaRefs>
</ds:datastoreItem>
</file>

<file path=customXml/itemProps5.xml><?xml version="1.0" encoding="utf-8"?>
<ds:datastoreItem xmlns:ds="http://schemas.openxmlformats.org/officeDocument/2006/customXml" ds:itemID="{2C7BE9FF-E4D2-4442-B5E0-2DB4486DA61F}">
  <ds:schemaRefs/>
</ds:datastoreItem>
</file>

<file path=customXml/itemProps6.xml><?xml version="1.0" encoding="utf-8"?>
<ds:datastoreItem xmlns:ds="http://schemas.openxmlformats.org/officeDocument/2006/customXml" ds:itemID="{CD663421-A9A5-48CB-A123-C8170900AD23}">
  <ds:schemaRefs/>
</ds:datastoreItem>
</file>

<file path=customXml/itemProps7.xml><?xml version="1.0" encoding="utf-8"?>
<ds:datastoreItem xmlns:ds="http://schemas.openxmlformats.org/officeDocument/2006/customXml" ds:itemID="{7F18F1A3-1252-47BE-A698-954C6DC130CA}">
  <ds:schemaRefs/>
</ds:datastoreItem>
</file>

<file path=customXml/itemProps8.xml><?xml version="1.0" encoding="utf-8"?>
<ds:datastoreItem xmlns:ds="http://schemas.openxmlformats.org/officeDocument/2006/customXml" ds:itemID="{6A3111A1-16F2-4D8E-802A-64A4F062329A}">
  <ds:schemaRefs/>
</ds:datastoreItem>
</file>

<file path=customXml/itemProps9.xml><?xml version="1.0" encoding="utf-8"?>
<ds:datastoreItem xmlns:ds="http://schemas.openxmlformats.org/officeDocument/2006/customXml" ds:itemID="{FAAF4AC2-AE53-4B26-9683-A19789483580}">
  <ds:schemaRefs/>
</ds:datastoreItem>
</file>

<file path=customXml/itemProps10.xml><?xml version="1.0" encoding="utf-8"?>
<ds:datastoreItem xmlns:ds="http://schemas.openxmlformats.org/officeDocument/2006/customXml" ds:itemID="{28CEA4ED-A08D-4AF7-92C1-51F0426C318B}">
  <ds:schemaRefs/>
</ds:datastoreItem>
</file>

<file path=customXml/itemProps11.xml><?xml version="1.0" encoding="utf-8"?>
<ds:datastoreItem xmlns:ds="http://schemas.openxmlformats.org/officeDocument/2006/customXml" ds:itemID="{14760716-4661-4B99-93A2-D2C42E7126A3}">
  <ds:schemaRefs/>
</ds:datastoreItem>
</file>

<file path=customXml/itemProps12.xml><?xml version="1.0" encoding="utf-8"?>
<ds:datastoreItem xmlns:ds="http://schemas.openxmlformats.org/officeDocument/2006/customXml" ds:itemID="{14FBC8FC-822C-4774-9BB5-C8794C5457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 ali</dc:creator>
  <cp:lastModifiedBy>adnan ali</cp:lastModifiedBy>
  <dcterms:created xsi:type="dcterms:W3CDTF">2026-07-03T12:16:30Z</dcterms:created>
  <dcterms:modified xsi:type="dcterms:W3CDTF">2026-07-03T13:42:17Z</dcterms:modified>
</cp:coreProperties>
</file>